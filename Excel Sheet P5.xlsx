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a\Pictures\Screenshots\PRODUCT MANAGEMENT\Project 5\OUTPUT\"/>
    </mc:Choice>
  </mc:AlternateContent>
  <bookViews>
    <workbookView xWindow="0" yWindow="0" windowWidth="19200" windowHeight="6930" firstSheet="11" activeTab="14"/>
  </bookViews>
  <sheets>
    <sheet name="Benchmarking Data" sheetId="1" r:id="rId1"/>
    <sheet name="Feature List" sheetId="2" r:id="rId2"/>
    <sheet name="Competitor List" sheetId="3" r:id="rId3"/>
    <sheet name="Data Dictionary" sheetId="4" r:id="rId4"/>
    <sheet name="Feature Scoring" sheetId="5" r:id="rId5"/>
    <sheet name="KPI Calculations" sheetId="6" r:id="rId6"/>
    <sheet name="Gap Analysis" sheetId="7" r:id="rId7"/>
    <sheet name="Competitor Comparison" sheetId="8" r:id="rId8"/>
    <sheet name="Feature Comparison Matrix" sheetId="9" r:id="rId9"/>
    <sheet name="Opportunity Prioritization" sheetId="10" r:id="rId10"/>
    <sheet name="Product Roadmap" sheetId="11" r:id="rId11"/>
    <sheet name="Dashboard" sheetId="12" r:id="rId12"/>
    <sheet name="Competitive_Positioning" sheetId="13" r:id="rId13"/>
    <sheet name="Opportunity Matrix" sheetId="14" r:id="rId14"/>
    <sheet name="Gap Priority Ranking" sheetId="15" r:id="rId15"/>
  </sheets>
  <calcPr calcId="162913"/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" i="7"/>
  <c r="B6" i="13"/>
  <c r="A6" i="13"/>
  <c r="B5" i="13"/>
  <c r="A5" i="13"/>
  <c r="B4" i="13"/>
  <c r="A4" i="13"/>
  <c r="B3" i="13"/>
  <c r="A3" i="13"/>
  <c r="B2" i="13"/>
  <c r="A2" i="13"/>
  <c r="C21" i="12"/>
  <c r="C12" i="12"/>
  <c r="C17" i="12"/>
  <c r="D3" i="12"/>
  <c r="C3" i="12"/>
  <c r="B3" i="12"/>
  <c r="A3" i="12"/>
  <c r="D27" i="11" a="1"/>
  <c r="D27" i="11" s="1"/>
  <c r="A27" i="11"/>
  <c r="D26" i="11" a="1"/>
  <c r="D26" i="11" s="1"/>
  <c r="A26" i="11"/>
  <c r="D25" i="11" a="1"/>
  <c r="D25" i="11" s="1"/>
  <c r="A25" i="11"/>
  <c r="D24" i="11" a="1"/>
  <c r="D24" i="11" s="1"/>
  <c r="A24" i="11"/>
  <c r="D23" i="11" a="1"/>
  <c r="D23" i="11" s="1"/>
  <c r="A23" i="11"/>
  <c r="D22" i="11" a="1"/>
  <c r="D22" i="11" s="1"/>
  <c r="A22" i="11"/>
  <c r="D21" i="11" a="1"/>
  <c r="D21" i="11" s="1"/>
  <c r="A21" i="11"/>
  <c r="D20" i="11" a="1"/>
  <c r="D20" i="11" s="1"/>
  <c r="A20" i="11"/>
  <c r="D19" i="11" a="1"/>
  <c r="D19" i="11" s="1"/>
  <c r="A19" i="11"/>
  <c r="D18" i="11" a="1"/>
  <c r="D18" i="11" s="1"/>
  <c r="A18" i="11"/>
  <c r="D17" i="11" a="1"/>
  <c r="D17" i="11" s="1"/>
  <c r="A17" i="11"/>
  <c r="D16" i="11" a="1"/>
  <c r="D16" i="11" s="1"/>
  <c r="A16" i="11"/>
  <c r="D15" i="11" a="1"/>
  <c r="D15" i="11" s="1"/>
  <c r="A15" i="11"/>
  <c r="D14" i="11" a="1"/>
  <c r="D14" i="11" s="1"/>
  <c r="A14" i="11"/>
  <c r="D13" i="11" a="1"/>
  <c r="D13" i="11" s="1"/>
  <c r="A13" i="11"/>
  <c r="D12" i="11" a="1"/>
  <c r="D12" i="11" s="1"/>
  <c r="A12" i="11"/>
  <c r="D11" i="11" a="1"/>
  <c r="D11" i="11" s="1"/>
  <c r="A11" i="11"/>
  <c r="D10" i="11" a="1"/>
  <c r="D10" i="11" s="1"/>
  <c r="A10" i="11"/>
  <c r="D9" i="11" a="1"/>
  <c r="D9" i="11" s="1"/>
  <c r="A9" i="11"/>
  <c r="D8" i="11" a="1"/>
  <c r="D8" i="11" s="1"/>
  <c r="A8" i="11"/>
  <c r="D7" i="11" a="1"/>
  <c r="D7" i="11" s="1"/>
  <c r="A7" i="11"/>
  <c r="D6" i="11" a="1"/>
  <c r="D6" i="11" s="1"/>
  <c r="A6" i="11"/>
  <c r="D5" i="11" a="1"/>
  <c r="D5" i="11" s="1"/>
  <c r="A5" i="11"/>
  <c r="D4" i="11" a="1"/>
  <c r="D4" i="11" s="1"/>
  <c r="A4" i="11"/>
  <c r="D3" i="11" a="1"/>
  <c r="D3" i="11" s="1"/>
  <c r="A3" i="11"/>
  <c r="D2" i="11" a="1"/>
  <c r="D2" i="11" s="1"/>
  <c r="A2" i="11"/>
  <c r="D27" i="10"/>
  <c r="C27" i="10"/>
  <c r="B27" i="10"/>
  <c r="A27" i="10"/>
  <c r="D26" i="10"/>
  <c r="C26" i="10"/>
  <c r="B26" i="10"/>
  <c r="A26" i="10"/>
  <c r="D25" i="10"/>
  <c r="C25" i="10"/>
  <c r="B25" i="10"/>
  <c r="A25" i="10"/>
  <c r="D24" i="10"/>
  <c r="C24" i="10"/>
  <c r="B24" i="10"/>
  <c r="A24" i="10"/>
  <c r="D23" i="10"/>
  <c r="C23" i="10"/>
  <c r="B23" i="10"/>
  <c r="A23" i="10"/>
  <c r="D22" i="10"/>
  <c r="C22" i="10"/>
  <c r="B22" i="10"/>
  <c r="A22" i="10"/>
  <c r="D21" i="10"/>
  <c r="C21" i="10"/>
  <c r="B21" i="10"/>
  <c r="A21" i="10"/>
  <c r="D20" i="10"/>
  <c r="C20" i="10"/>
  <c r="B20" i="10"/>
  <c r="A20" i="10"/>
  <c r="D19" i="10"/>
  <c r="C19" i="10"/>
  <c r="B19" i="10"/>
  <c r="A19" i="10"/>
  <c r="D18" i="10"/>
  <c r="C18" i="10"/>
  <c r="B18" i="10"/>
  <c r="A18" i="10"/>
  <c r="D17" i="10"/>
  <c r="C17" i="10"/>
  <c r="B17" i="10"/>
  <c r="A17" i="10"/>
  <c r="D16" i="10"/>
  <c r="C16" i="10"/>
  <c r="B16" i="10"/>
  <c r="A16" i="10"/>
  <c r="D15" i="10"/>
  <c r="C15" i="10"/>
  <c r="B15" i="10"/>
  <c r="A15" i="10"/>
  <c r="D14" i="10"/>
  <c r="C14" i="10"/>
  <c r="B14" i="10"/>
  <c r="A14" i="10"/>
  <c r="D13" i="10"/>
  <c r="C13" i="10"/>
  <c r="B13" i="10"/>
  <c r="A13" i="10"/>
  <c r="D12" i="10"/>
  <c r="C12" i="10"/>
  <c r="B12" i="10"/>
  <c r="A12" i="10"/>
  <c r="D11" i="10"/>
  <c r="C11" i="10"/>
  <c r="B11" i="10"/>
  <c r="A11" i="10"/>
  <c r="D10" i="10"/>
  <c r="C10" i="10"/>
  <c r="B10" i="10"/>
  <c r="A10" i="10"/>
  <c r="D9" i="10"/>
  <c r="C9" i="10"/>
  <c r="B9" i="10"/>
  <c r="A9" i="10"/>
  <c r="D8" i="10"/>
  <c r="C8" i="10"/>
  <c r="B8" i="10"/>
  <c r="A8" i="10"/>
  <c r="D7" i="10"/>
  <c r="C7" i="10"/>
  <c r="B7" i="10"/>
  <c r="A7" i="10"/>
  <c r="D6" i="10"/>
  <c r="C6" i="10"/>
  <c r="B6" i="10"/>
  <c r="A6" i="10"/>
  <c r="D5" i="10"/>
  <c r="C5" i="10"/>
  <c r="B5" i="10"/>
  <c r="A5" i="10"/>
  <c r="D4" i="10"/>
  <c r="C4" i="10"/>
  <c r="B4" i="10"/>
  <c r="A4" i="10"/>
  <c r="D3" i="10"/>
  <c r="C3" i="10"/>
  <c r="B3" i="10"/>
  <c r="A3" i="10"/>
  <c r="D2" i="10"/>
  <c r="C2" i="10"/>
  <c r="B2" i="10"/>
  <c r="A2" i="10"/>
  <c r="L21" i="9" a="1"/>
  <c r="L21" i="9"/>
  <c r="I21" i="9"/>
  <c r="H21" i="9"/>
  <c r="G21" i="9" a="1"/>
  <c r="G21" i="9" s="1"/>
  <c r="F21" i="9" a="1"/>
  <c r="F21" i="9"/>
  <c r="E21" i="9" a="1"/>
  <c r="E21" i="9"/>
  <c r="D21" i="9" a="1"/>
  <c r="D21" i="9" s="1"/>
  <c r="C21" i="9" a="1"/>
  <c r="C21" i="9" s="1"/>
  <c r="B21" i="9" a="1"/>
  <c r="B21" i="9"/>
  <c r="A21" i="9"/>
  <c r="L20" i="9" a="1"/>
  <c r="L20" i="9"/>
  <c r="I20" i="9"/>
  <c r="H20" i="9"/>
  <c r="G20" i="9" a="1"/>
  <c r="G20" i="9"/>
  <c r="F20" i="9" a="1"/>
  <c r="F20" i="9" s="1"/>
  <c r="E20" i="9" a="1"/>
  <c r="E20" i="9"/>
  <c r="D20" i="9" a="1"/>
  <c r="D20" i="9"/>
  <c r="C20" i="9" a="1"/>
  <c r="C20" i="9"/>
  <c r="B20" i="9" a="1"/>
  <c r="B20" i="9" s="1"/>
  <c r="A20" i="9"/>
  <c r="L19" i="9" a="1"/>
  <c r="L19" i="9" s="1"/>
  <c r="I19" i="9"/>
  <c r="H19" i="9"/>
  <c r="G19" i="9" a="1"/>
  <c r="G19" i="9" s="1"/>
  <c r="F19" i="9" a="1"/>
  <c r="F19" i="9" s="1"/>
  <c r="E19" i="9" a="1"/>
  <c r="E19" i="9"/>
  <c r="D19" i="9" a="1"/>
  <c r="D19" i="9" s="1"/>
  <c r="C19" i="9" a="1"/>
  <c r="C19" i="9" s="1"/>
  <c r="B19" i="9" a="1"/>
  <c r="B19" i="9" s="1"/>
  <c r="A19" i="9"/>
  <c r="L18" i="9" a="1"/>
  <c r="L18" i="9"/>
  <c r="I18" i="9"/>
  <c r="H18" i="9"/>
  <c r="G18" i="9" a="1"/>
  <c r="G18" i="9"/>
  <c r="F18" i="9" a="1"/>
  <c r="F18" i="9"/>
  <c r="E18" i="9" a="1"/>
  <c r="E18" i="9"/>
  <c r="D18" i="9" a="1"/>
  <c r="D18" i="9"/>
  <c r="C18" i="9" a="1"/>
  <c r="C18" i="9"/>
  <c r="B18" i="9" a="1"/>
  <c r="B18" i="9"/>
  <c r="A18" i="9"/>
  <c r="L17" i="9" a="1"/>
  <c r="L17" i="9" s="1"/>
  <c r="I17" i="9"/>
  <c r="H17" i="9"/>
  <c r="G17" i="9" a="1"/>
  <c r="G17" i="9" s="1"/>
  <c r="F17" i="9" a="1"/>
  <c r="F17" i="9" s="1"/>
  <c r="E17" i="9" a="1"/>
  <c r="E17" i="9" s="1"/>
  <c r="D17" i="9" a="1"/>
  <c r="D17" i="9"/>
  <c r="C17" i="9" a="1"/>
  <c r="C17" i="9" s="1"/>
  <c r="B17" i="9" a="1"/>
  <c r="B17" i="9" s="1"/>
  <c r="A17" i="9"/>
  <c r="L16" i="9" a="1"/>
  <c r="L16" i="9"/>
  <c r="I16" i="9"/>
  <c r="H16" i="9"/>
  <c r="G16" i="9" a="1"/>
  <c r="G16" i="9"/>
  <c r="F16" i="9" a="1"/>
  <c r="F16" i="9"/>
  <c r="E16" i="9" a="1"/>
  <c r="E16" i="9"/>
  <c r="D16" i="9" a="1"/>
  <c r="D16" i="9"/>
  <c r="C16" i="9" a="1"/>
  <c r="C16" i="9"/>
  <c r="B16" i="9" a="1"/>
  <c r="B16" i="9"/>
  <c r="A16" i="9"/>
  <c r="L15" i="9" a="1"/>
  <c r="L15" i="9" s="1"/>
  <c r="I15" i="9"/>
  <c r="H15" i="9"/>
  <c r="G15" i="9" a="1"/>
  <c r="G15" i="9"/>
  <c r="F15" i="9" a="1"/>
  <c r="F15" i="9" s="1"/>
  <c r="E15" i="9" a="1"/>
  <c r="E15" i="9" s="1"/>
  <c r="D15" i="9" a="1"/>
  <c r="D15" i="9" s="1"/>
  <c r="C15" i="9" a="1"/>
  <c r="C15" i="9"/>
  <c r="B15" i="9" a="1"/>
  <c r="B15" i="9" s="1"/>
  <c r="A15" i="9"/>
  <c r="L14" i="9" a="1"/>
  <c r="L14" i="9"/>
  <c r="I14" i="9"/>
  <c r="H14" i="9"/>
  <c r="G14" i="9" a="1"/>
  <c r="G14" i="9"/>
  <c r="F14" i="9" a="1"/>
  <c r="F14" i="9"/>
  <c r="E14" i="9" a="1"/>
  <c r="E14" i="9"/>
  <c r="D14" i="9" a="1"/>
  <c r="D14" i="9"/>
  <c r="C14" i="9" a="1"/>
  <c r="C14" i="9" s="1"/>
  <c r="B14" i="9" a="1"/>
  <c r="B14" i="9"/>
  <c r="A14" i="9"/>
  <c r="L13" i="9" a="1"/>
  <c r="L13" i="9"/>
  <c r="I13" i="9"/>
  <c r="H13" i="9"/>
  <c r="G13" i="9" a="1"/>
  <c r="G13" i="9" s="1"/>
  <c r="F13" i="9" a="1"/>
  <c r="F13" i="9"/>
  <c r="E13" i="9" a="1"/>
  <c r="E13" i="9" s="1"/>
  <c r="D13" i="9" a="1"/>
  <c r="D13" i="9" s="1"/>
  <c r="C13" i="9" a="1"/>
  <c r="C13" i="9" s="1"/>
  <c r="B13" i="9" a="1"/>
  <c r="B13" i="9"/>
  <c r="A13" i="9"/>
  <c r="L12" i="9" a="1"/>
  <c r="L12" i="9"/>
  <c r="I12" i="9"/>
  <c r="H12" i="9"/>
  <c r="G12" i="9" a="1"/>
  <c r="G12" i="9"/>
  <c r="F12" i="9" a="1"/>
  <c r="F12" i="9" s="1"/>
  <c r="E12" i="9" a="1"/>
  <c r="E12" i="9"/>
  <c r="D12" i="9" a="1"/>
  <c r="D12" i="9"/>
  <c r="C12" i="9" a="1"/>
  <c r="C12" i="9"/>
  <c r="B12" i="9" a="1"/>
  <c r="B12" i="9" s="1"/>
  <c r="A12" i="9"/>
  <c r="L11" i="9" a="1"/>
  <c r="L11" i="9" s="1"/>
  <c r="I11" i="9"/>
  <c r="H11" i="9"/>
  <c r="G11" i="9" a="1"/>
  <c r="G11" i="9" s="1"/>
  <c r="F11" i="9" a="1"/>
  <c r="F11" i="9" s="1"/>
  <c r="E11" i="9" a="1"/>
  <c r="E11" i="9"/>
  <c r="D11" i="9" a="1"/>
  <c r="D11" i="9" s="1"/>
  <c r="C11" i="9" a="1"/>
  <c r="C11" i="9" s="1"/>
  <c r="B11" i="9" a="1"/>
  <c r="B11" i="9" s="1"/>
  <c r="A11" i="9"/>
  <c r="L10" i="9" a="1"/>
  <c r="L10" i="9"/>
  <c r="I10" i="9"/>
  <c r="H10" i="9"/>
  <c r="G10" i="9" a="1"/>
  <c r="G10" i="9"/>
  <c r="F10" i="9" a="1"/>
  <c r="F10" i="9"/>
  <c r="E10" i="9" a="1"/>
  <c r="E10" i="9"/>
  <c r="D10" i="9" a="1"/>
  <c r="D10" i="9"/>
  <c r="C10" i="9" a="1"/>
  <c r="C10" i="9"/>
  <c r="B10" i="9" a="1"/>
  <c r="B10" i="9"/>
  <c r="A10" i="9"/>
  <c r="L9" i="9" a="1"/>
  <c r="L9" i="9" s="1"/>
  <c r="I9" i="9"/>
  <c r="H9" i="9"/>
  <c r="G9" i="9" a="1"/>
  <c r="G9" i="9" s="1"/>
  <c r="F9" i="9" a="1"/>
  <c r="F9" i="9" s="1"/>
  <c r="E9" i="9" a="1"/>
  <c r="E9" i="9" s="1"/>
  <c r="D9" i="9" a="1"/>
  <c r="D9" i="9"/>
  <c r="C9" i="9" a="1"/>
  <c r="C9" i="9" s="1"/>
  <c r="B9" i="9" a="1"/>
  <c r="B9" i="9" s="1"/>
  <c r="A9" i="9"/>
  <c r="L8" i="9" a="1"/>
  <c r="L8" i="9"/>
  <c r="I8" i="9"/>
  <c r="H8" i="9"/>
  <c r="G8" i="9" a="1"/>
  <c r="G8" i="9"/>
  <c r="F8" i="9" a="1"/>
  <c r="F8" i="9"/>
  <c r="E8" i="9" a="1"/>
  <c r="E8" i="9"/>
  <c r="D8" i="9" a="1"/>
  <c r="D8" i="9"/>
  <c r="C8" i="9" a="1"/>
  <c r="C8" i="9"/>
  <c r="B8" i="9" a="1"/>
  <c r="B8" i="9"/>
  <c r="A8" i="9"/>
  <c r="L7" i="9" a="1"/>
  <c r="L7" i="9" s="1"/>
  <c r="I7" i="9"/>
  <c r="H7" i="9"/>
  <c r="G7" i="9" a="1"/>
  <c r="G7" i="9"/>
  <c r="F7" i="9" a="1"/>
  <c r="F7" i="9" s="1"/>
  <c r="E7" i="9" a="1"/>
  <c r="E7" i="9" s="1"/>
  <c r="D7" i="9" a="1"/>
  <c r="D7" i="9" s="1"/>
  <c r="C7" i="9" a="1"/>
  <c r="C7" i="9"/>
  <c r="B7" i="9" a="1"/>
  <c r="B7" i="9" s="1"/>
  <c r="A7" i="9"/>
  <c r="L6" i="9" a="1"/>
  <c r="L6" i="9"/>
  <c r="I6" i="9"/>
  <c r="H6" i="9"/>
  <c r="G6" i="9" a="1"/>
  <c r="G6" i="9"/>
  <c r="F6" i="9" a="1"/>
  <c r="F6" i="9"/>
  <c r="E6" i="9" a="1"/>
  <c r="E6" i="9"/>
  <c r="D6" i="9" a="1"/>
  <c r="D6" i="9"/>
  <c r="C6" i="9" a="1"/>
  <c r="C6" i="9" s="1"/>
  <c r="B6" i="9" a="1"/>
  <c r="B6" i="9"/>
  <c r="A6" i="9"/>
  <c r="L5" i="9" a="1"/>
  <c r="L5" i="9"/>
  <c r="I5" i="9"/>
  <c r="H5" i="9"/>
  <c r="G5" i="9" a="1"/>
  <c r="G5" i="9" s="1"/>
  <c r="F5" i="9" a="1"/>
  <c r="F5" i="9"/>
  <c r="E5" i="9" a="1"/>
  <c r="E5" i="9" s="1"/>
  <c r="D5" i="9" a="1"/>
  <c r="D5" i="9" s="1"/>
  <c r="C5" i="9" a="1"/>
  <c r="C5" i="9" s="1"/>
  <c r="B5" i="9" a="1"/>
  <c r="B5" i="9"/>
  <c r="A5" i="9"/>
  <c r="L4" i="9" a="1"/>
  <c r="L4" i="9"/>
  <c r="I4" i="9"/>
  <c r="H4" i="9"/>
  <c r="G4" i="9" a="1"/>
  <c r="G4" i="9"/>
  <c r="F4" i="9" a="1"/>
  <c r="F4" i="9" s="1"/>
  <c r="E4" i="9" a="1"/>
  <c r="E4" i="9"/>
  <c r="D4" i="9" a="1"/>
  <c r="D4" i="9"/>
  <c r="C4" i="9" a="1"/>
  <c r="C4" i="9"/>
  <c r="B4" i="9" a="1"/>
  <c r="B4" i="9" s="1"/>
  <c r="A4" i="9"/>
  <c r="L3" i="9" a="1"/>
  <c r="L3" i="9" s="1"/>
  <c r="I3" i="9"/>
  <c r="H3" i="9"/>
  <c r="G3" i="9" a="1"/>
  <c r="G3" i="9" s="1"/>
  <c r="F3" i="9" a="1"/>
  <c r="F3" i="9" s="1"/>
  <c r="E3" i="9" a="1"/>
  <c r="E3" i="9"/>
  <c r="D3" i="9" a="1"/>
  <c r="D3" i="9" s="1"/>
  <c r="C3" i="9" a="1"/>
  <c r="C3" i="9" s="1"/>
  <c r="B3" i="9" a="1"/>
  <c r="B3" i="9" s="1"/>
  <c r="A3" i="9"/>
  <c r="L2" i="9" a="1"/>
  <c r="L2" i="9"/>
  <c r="I2" i="9"/>
  <c r="H2" i="9"/>
  <c r="G2" i="9" a="1"/>
  <c r="G2" i="9"/>
  <c r="F2" i="9" a="1"/>
  <c r="F2" i="9"/>
  <c r="E2" i="9" a="1"/>
  <c r="E2" i="9"/>
  <c r="D2" i="9" a="1"/>
  <c r="D2" i="9"/>
  <c r="C2" i="9" a="1"/>
  <c r="C2" i="9"/>
  <c r="B2" i="9" a="1"/>
  <c r="B2" i="9"/>
  <c r="A2" i="9"/>
  <c r="N6" i="8"/>
  <c r="M6" i="8"/>
  <c r="L6" i="8"/>
  <c r="K6" i="8"/>
  <c r="J6" i="8"/>
  <c r="I6" i="8"/>
  <c r="H6" i="8"/>
  <c r="G6" i="8"/>
  <c r="F6" i="8"/>
  <c r="E6" i="8"/>
  <c r="D6" i="8"/>
  <c r="C6" i="8"/>
  <c r="C6" i="13" s="1"/>
  <c r="A6" i="8"/>
  <c r="N5" i="8"/>
  <c r="M5" i="8"/>
  <c r="L5" i="8"/>
  <c r="K5" i="8"/>
  <c r="J5" i="8"/>
  <c r="I5" i="8"/>
  <c r="H5" i="8"/>
  <c r="G5" i="8"/>
  <c r="F5" i="8"/>
  <c r="E5" i="8"/>
  <c r="D5" i="8"/>
  <c r="C5" i="8"/>
  <c r="C5" i="13" s="1"/>
  <c r="A5" i="8"/>
  <c r="N4" i="8"/>
  <c r="M4" i="8"/>
  <c r="L4" i="8"/>
  <c r="K4" i="8"/>
  <c r="J4" i="8"/>
  <c r="I4" i="8"/>
  <c r="H4" i="8"/>
  <c r="G4" i="8"/>
  <c r="F4" i="8"/>
  <c r="E4" i="8"/>
  <c r="D4" i="8"/>
  <c r="C4" i="8"/>
  <c r="C4" i="13" s="1"/>
  <c r="A4" i="8"/>
  <c r="N3" i="8"/>
  <c r="M3" i="8"/>
  <c r="L3" i="8"/>
  <c r="K3" i="8"/>
  <c r="J3" i="8"/>
  <c r="I3" i="8"/>
  <c r="H3" i="8"/>
  <c r="G3" i="8"/>
  <c r="F3" i="8"/>
  <c r="E3" i="8"/>
  <c r="D3" i="8"/>
  <c r="C3" i="8"/>
  <c r="C3" i="13" s="1"/>
  <c r="A3" i="8"/>
  <c r="N2" i="8"/>
  <c r="M2" i="8"/>
  <c r="L2" i="8"/>
  <c r="K2" i="8"/>
  <c r="J2" i="8"/>
  <c r="I2" i="8"/>
  <c r="H2" i="8"/>
  <c r="G2" i="8"/>
  <c r="F2" i="8"/>
  <c r="E2" i="8"/>
  <c r="D2" i="8"/>
  <c r="C2" i="8"/>
  <c r="C2" i="13" s="1"/>
  <c r="A2" i="8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B9" i="6"/>
  <c r="B8" i="6"/>
  <c r="B7" i="6"/>
  <c r="B6" i="6"/>
  <c r="B5" i="6"/>
  <c r="B4" i="6"/>
  <c r="B3" i="6"/>
  <c r="B2" i="6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B6" i="8" s="1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B5" i="8" s="1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B4" i="8" s="1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B3" i="8" s="1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2" i="5"/>
  <c r="B2" i="8" s="1"/>
  <c r="F2" i="5"/>
  <c r="E2" i="5"/>
  <c r="D2" i="5"/>
  <c r="C2" i="5"/>
  <c r="B2" i="5"/>
  <c r="B3" i="7" s="1"/>
  <c r="A2" i="5"/>
  <c r="D21" i="7" l="1"/>
  <c r="E21" i="7" s="1"/>
  <c r="F21" i="7" s="1"/>
  <c r="K21" i="9" s="1"/>
  <c r="D4" i="7"/>
  <c r="D8" i="7"/>
  <c r="D3" i="7"/>
  <c r="D11" i="7"/>
  <c r="E11" i="7" s="1"/>
  <c r="F11" i="7" s="1"/>
  <c r="K11" i="9" s="1"/>
  <c r="D15" i="7"/>
  <c r="E15" i="7" s="1"/>
  <c r="F15" i="7" s="1"/>
  <c r="C15" i="11" s="1"/>
  <c r="E15" i="11" s="1"/>
  <c r="D23" i="7"/>
  <c r="E23" i="7" s="1"/>
  <c r="F23" i="7" s="1"/>
  <c r="C23" i="11" s="1"/>
  <c r="E23" i="11" s="1"/>
  <c r="D10" i="7"/>
  <c r="E10" i="7" s="1"/>
  <c r="F10" i="7" s="1"/>
  <c r="C10" i="11" s="1"/>
  <c r="E10" i="11" s="1"/>
  <c r="D18" i="7"/>
  <c r="E18" i="7" s="1"/>
  <c r="F18" i="7" s="1"/>
  <c r="K18" i="9" s="1"/>
  <c r="D26" i="7"/>
  <c r="E26" i="7" s="1"/>
  <c r="F26" i="7" s="1"/>
  <c r="C26" i="11" s="1"/>
  <c r="E26" i="11" s="1"/>
  <c r="B5" i="7"/>
  <c r="D5" i="7" s="1"/>
  <c r="B9" i="7"/>
  <c r="D9" i="7" s="1"/>
  <c r="B13" i="7"/>
  <c r="D13" i="7" s="1"/>
  <c r="B17" i="7"/>
  <c r="D17" i="7" s="1"/>
  <c r="B21" i="7"/>
  <c r="B25" i="7"/>
  <c r="D25" i="7" s="1"/>
  <c r="E25" i="7" s="1"/>
  <c r="B4" i="7"/>
  <c r="B8" i="7"/>
  <c r="B12" i="7"/>
  <c r="D12" i="7" s="1"/>
  <c r="B16" i="7"/>
  <c r="D16" i="7" s="1"/>
  <c r="B20" i="7"/>
  <c r="D20" i="7" s="1"/>
  <c r="B24" i="7"/>
  <c r="D24" i="7" s="1"/>
  <c r="E24" i="7" s="1"/>
  <c r="B7" i="7"/>
  <c r="D7" i="7" s="1"/>
  <c r="B19" i="7"/>
  <c r="D19" i="7" s="1"/>
  <c r="B11" i="7"/>
  <c r="B15" i="7"/>
  <c r="B23" i="7"/>
  <c r="B27" i="7"/>
  <c r="D27" i="7" s="1"/>
  <c r="E27" i="7" s="1"/>
  <c r="F27" i="7" s="1"/>
  <c r="B2" i="7"/>
  <c r="D2" i="7" s="1"/>
  <c r="B6" i="7"/>
  <c r="D6" i="7" s="1"/>
  <c r="B10" i="7"/>
  <c r="B14" i="7"/>
  <c r="D14" i="7" s="1"/>
  <c r="B18" i="7"/>
  <c r="B22" i="7"/>
  <c r="D22" i="7" s="1"/>
  <c r="E22" i="7" s="1"/>
  <c r="B26" i="7"/>
  <c r="E27" i="11"/>
  <c r="C21" i="11" l="1"/>
  <c r="E21" i="11" s="1"/>
  <c r="B23" i="11"/>
  <c r="K10" i="9"/>
  <c r="B10" i="11"/>
  <c r="J10" i="9"/>
  <c r="B18" i="11"/>
  <c r="K15" i="9"/>
  <c r="C11" i="11"/>
  <c r="E11" i="11" s="1"/>
  <c r="F24" i="7"/>
  <c r="C24" i="11" s="1"/>
  <c r="E24" i="11" s="1"/>
  <c r="B24" i="11"/>
  <c r="E9" i="7"/>
  <c r="J9" i="9"/>
  <c r="J12" i="9"/>
  <c r="E12" i="7"/>
  <c r="E5" i="7"/>
  <c r="J5" i="9"/>
  <c r="E20" i="7"/>
  <c r="J20" i="9"/>
  <c r="E16" i="7"/>
  <c r="J16" i="9"/>
  <c r="F22" i="7"/>
  <c r="C22" i="11" s="1"/>
  <c r="E22" i="11" s="1"/>
  <c r="B22" i="11"/>
  <c r="E14" i="7"/>
  <c r="J14" i="9"/>
  <c r="E19" i="7"/>
  <c r="J19" i="9"/>
  <c r="E6" i="7"/>
  <c r="J6" i="9"/>
  <c r="J2" i="9"/>
  <c r="E2" i="7"/>
  <c r="E17" i="7"/>
  <c r="J17" i="9"/>
  <c r="E13" i="7"/>
  <c r="J13" i="9"/>
  <c r="E7" i="7"/>
  <c r="J7" i="9"/>
  <c r="F25" i="7"/>
  <c r="C25" i="11" s="1"/>
  <c r="E25" i="11" s="1"/>
  <c r="B25" i="11"/>
  <c r="J18" i="9"/>
  <c r="E8" i="7"/>
  <c r="J8" i="9"/>
  <c r="C18" i="11"/>
  <c r="E18" i="11" s="1"/>
  <c r="J21" i="9"/>
  <c r="B15" i="11"/>
  <c r="J3" i="9"/>
  <c r="E3" i="7"/>
  <c r="J4" i="9"/>
  <c r="E4" i="7"/>
  <c r="J11" i="9"/>
  <c r="B26" i="11"/>
  <c r="B11" i="11"/>
  <c r="B21" i="11"/>
  <c r="J15" i="9"/>
  <c r="F12" i="7" l="1"/>
  <c r="B12" i="11"/>
  <c r="F2" i="7"/>
  <c r="B2" i="11"/>
  <c r="F17" i="7"/>
  <c r="B17" i="11"/>
  <c r="F7" i="7"/>
  <c r="B7" i="11"/>
  <c r="F6" i="7"/>
  <c r="B6" i="11"/>
  <c r="F16" i="7"/>
  <c r="B16" i="11"/>
  <c r="F9" i="7"/>
  <c r="B9" i="11"/>
  <c r="F8" i="7"/>
  <c r="B8" i="11"/>
  <c r="F3" i="7"/>
  <c r="B3" i="11"/>
  <c r="F4" i="7"/>
  <c r="B4" i="11"/>
  <c r="F14" i="7"/>
  <c r="B14" i="11"/>
  <c r="F5" i="7"/>
  <c r="B5" i="11"/>
  <c r="F13" i="7"/>
  <c r="B13" i="11"/>
  <c r="F19" i="7"/>
  <c r="B19" i="11"/>
  <c r="F20" i="7"/>
  <c r="B20" i="11"/>
  <c r="K9" i="9" l="1"/>
  <c r="C9" i="11"/>
  <c r="E9" i="11" s="1"/>
  <c r="K5" i="9"/>
  <c r="C5" i="11"/>
  <c r="E5" i="11" s="1"/>
  <c r="C8" i="11"/>
  <c r="E8" i="11" s="1"/>
  <c r="K8" i="9"/>
  <c r="K7" i="9"/>
  <c r="C7" i="11"/>
  <c r="E7" i="11" s="1"/>
  <c r="K14" i="9"/>
  <c r="C14" i="11"/>
  <c r="E14" i="11" s="1"/>
  <c r="K19" i="9"/>
  <c r="C19" i="11"/>
  <c r="E19" i="11" s="1"/>
  <c r="K2" i="9"/>
  <c r="C25" i="12"/>
  <c r="C2" i="11"/>
  <c r="E2" i="11" s="1"/>
  <c r="K20" i="9"/>
  <c r="C20" i="11"/>
  <c r="E20" i="11" s="1"/>
  <c r="K17" i="9"/>
  <c r="C17" i="11"/>
  <c r="E17" i="11" s="1"/>
  <c r="K4" i="9"/>
  <c r="C4" i="11"/>
  <c r="E4" i="11" s="1"/>
  <c r="K16" i="9"/>
  <c r="C16" i="11"/>
  <c r="E16" i="11" s="1"/>
  <c r="K13" i="9"/>
  <c r="C13" i="11"/>
  <c r="E13" i="11" s="1"/>
  <c r="K3" i="9"/>
  <c r="C3" i="11"/>
  <c r="E3" i="11" s="1"/>
  <c r="K6" i="9"/>
  <c r="C6" i="11"/>
  <c r="E6" i="11" s="1"/>
  <c r="C12" i="11"/>
  <c r="E12" i="11" s="1"/>
  <c r="K12" i="9"/>
</calcChain>
</file>

<file path=xl/sharedStrings.xml><?xml version="1.0" encoding="utf-8"?>
<sst xmlns="http://schemas.openxmlformats.org/spreadsheetml/2006/main" count="2050" uniqueCount="301">
  <si>
    <t>Benchmark ID</t>
  </si>
  <si>
    <t>Product Name</t>
  </si>
  <si>
    <t>Competitor Name</t>
  </si>
  <si>
    <t>Product Category</t>
  </si>
  <si>
    <t>Feature Category</t>
  </si>
  <si>
    <t>Feature Name</t>
  </si>
  <si>
    <t>Our Product Availability</t>
  </si>
  <si>
    <t>Competitor Availability</t>
  </si>
  <si>
    <t>Feature Importance Score</t>
  </si>
  <si>
    <t>Customer Demand Score</t>
  </si>
  <si>
    <t>Customer Rating</t>
  </si>
  <si>
    <t>Competitor Rating</t>
  </si>
  <si>
    <t>Our Product Price</t>
  </si>
  <si>
    <t>Competitor Price</t>
  </si>
  <si>
    <t>Pricing Model</t>
  </si>
  <si>
    <t>User Experience Score</t>
  </si>
  <si>
    <t>Performance Score</t>
  </si>
  <si>
    <t>Integration Score</t>
  </si>
  <si>
    <t>Customer Support Score</t>
  </si>
  <si>
    <t>Mobile App Availability</t>
  </si>
  <si>
    <t>AI Capability Score</t>
  </si>
  <si>
    <t>Security Score</t>
  </si>
  <si>
    <t>Market Share %</t>
  </si>
  <si>
    <t>Feature Gap Score</t>
  </si>
  <si>
    <t>Competitive Advantage Score</t>
  </si>
  <si>
    <t>Opportunity Score</t>
  </si>
  <si>
    <t>Priority Level</t>
  </si>
  <si>
    <t>Recommended Action</t>
  </si>
  <si>
    <t>BMK-1001</t>
  </si>
  <si>
    <t>CloudPulse Analytics</t>
  </si>
  <si>
    <t>DataGlow AI</t>
  </si>
  <si>
    <t>Enterprise SaaS</t>
  </si>
  <si>
    <t>Core Analytics</t>
  </si>
  <si>
    <t>Real-Time Data Streaming</t>
  </si>
  <si>
    <t>Available</t>
  </si>
  <si>
    <t>Per User/Month</t>
  </si>
  <si>
    <t>Yes</t>
  </si>
  <si>
    <t>Low</t>
  </si>
  <si>
    <t>Monitor Market</t>
  </si>
  <si>
    <t>BMK-1002</t>
  </si>
  <si>
    <t>Custom Dashboard Builder</t>
  </si>
  <si>
    <t>Partial</t>
  </si>
  <si>
    <t>Maintain Advantage</t>
  </si>
  <si>
    <t>BMK-1003</t>
  </si>
  <si>
    <t>Ad-Hoc Query Engine</t>
  </si>
  <si>
    <t>Not Available</t>
  </si>
  <si>
    <t>Promote &amp; Monetize</t>
  </si>
  <si>
    <t>BMK-1004</t>
  </si>
  <si>
    <t>Automated PDF Reporting</t>
  </si>
  <si>
    <t>No</t>
  </si>
  <si>
    <t>BMK-1005</t>
  </si>
  <si>
    <t>Data Export (CSV/XLSX/JSON)</t>
  </si>
  <si>
    <t>BMK-1006</t>
  </si>
  <si>
    <t>Interactive Drill-Downs</t>
  </si>
  <si>
    <t>BMK-1007</t>
  </si>
  <si>
    <t>AI &amp; Automation</t>
  </si>
  <si>
    <t>Predictive Anomaly Detection</t>
  </si>
  <si>
    <t>BMK-1008</t>
  </si>
  <si>
    <t>Automated Insight Generation</t>
  </si>
  <si>
    <t>BMK-1009</t>
  </si>
  <si>
    <t>Natural Language Querying (NLQ)</t>
  </si>
  <si>
    <t>Medium</t>
  </si>
  <si>
    <t>BMK-1010</t>
  </si>
  <si>
    <t>Forecasting &amp; Trend Projection</t>
  </si>
  <si>
    <t>BMK-1011</t>
  </si>
  <si>
    <t>Smart Alerting &amp; Triggers</t>
  </si>
  <si>
    <t>BMK-1012</t>
  </si>
  <si>
    <t>Integrations &amp; Data Pipeline</t>
  </si>
  <si>
    <t>REST API &amp; Webhooks</t>
  </si>
  <si>
    <t>BMK-1013</t>
  </si>
  <si>
    <t>Pre-built Salesforce Connector</t>
  </si>
  <si>
    <t>BMK-1014</t>
  </si>
  <si>
    <t>Snowflake &amp; BigQuery Sync</t>
  </si>
  <si>
    <t>BMK-1015</t>
  </si>
  <si>
    <t>Zapier &amp; Make Integration</t>
  </si>
  <si>
    <t>BMK-1016</t>
  </si>
  <si>
    <t>Custom ETL Scripting Support</t>
  </si>
  <si>
    <t>BMK-1017</t>
  </si>
  <si>
    <t>Security &amp; Governance</t>
  </si>
  <si>
    <t>Role-Based Access Control (RBAC)</t>
  </si>
  <si>
    <t>BMK-1018</t>
  </si>
  <si>
    <t>SOC2 Type II Compliance</t>
  </si>
  <si>
    <t>BMK-1019</t>
  </si>
  <si>
    <t>Single Sign-On (SSO / SAML)</t>
  </si>
  <si>
    <t>BMK-1020</t>
  </si>
  <si>
    <t>Data Masking &amp; Encryption at Rest</t>
  </si>
  <si>
    <t>High</t>
  </si>
  <si>
    <t>Enhance Capability</t>
  </si>
  <si>
    <t>BMK-1021</t>
  </si>
  <si>
    <t>Audit Logging &amp; Activity Trails</t>
  </si>
  <si>
    <t>BMK-1022</t>
  </si>
  <si>
    <t>User Experience &amp; Mobile</t>
  </si>
  <si>
    <t>Native iOS &amp; Android App</t>
  </si>
  <si>
    <t>BMK-1023</t>
  </si>
  <si>
    <t>Dark Mode / Custom Themes</t>
  </si>
  <si>
    <t>BMK-1024</t>
  </si>
  <si>
    <t>Collaborative Comments &amp; Tagging</t>
  </si>
  <si>
    <t>BMK-1025</t>
  </si>
  <si>
    <t>Multi-Language Localization</t>
  </si>
  <si>
    <t>BMK-1026</t>
  </si>
  <si>
    <t>Custom White-Labeling</t>
  </si>
  <si>
    <t>BMK-1027</t>
  </si>
  <si>
    <t>MetricFlow</t>
  </si>
  <si>
    <t>Mid-Market SaaS</t>
  </si>
  <si>
    <t>Flat Rate</t>
  </si>
  <si>
    <t>BMK-1028</t>
  </si>
  <si>
    <t>BMK-1029</t>
  </si>
  <si>
    <t>BMK-1030</t>
  </si>
  <si>
    <t>BMK-1031</t>
  </si>
  <si>
    <t>BMK-1032</t>
  </si>
  <si>
    <t>BMK-1033</t>
  </si>
  <si>
    <t>BMK-1034</t>
  </si>
  <si>
    <t>BMK-1035</t>
  </si>
  <si>
    <t>BMK-1036</t>
  </si>
  <si>
    <t>BMK-1037</t>
  </si>
  <si>
    <t>BMK-1038</t>
  </si>
  <si>
    <t>BMK-1039</t>
  </si>
  <si>
    <t>BMK-1040</t>
  </si>
  <si>
    <t>BMK-1041</t>
  </si>
  <si>
    <t>BMK-1042</t>
  </si>
  <si>
    <t>BMK-1043</t>
  </si>
  <si>
    <t>BMK-1044</t>
  </si>
  <si>
    <t>BMK-1045</t>
  </si>
  <si>
    <t>BMK-1046</t>
  </si>
  <si>
    <t>BMK-1047</t>
  </si>
  <si>
    <t>BMK-1048</t>
  </si>
  <si>
    <t>BMK-1049</t>
  </si>
  <si>
    <t>BMK-1050</t>
  </si>
  <si>
    <t>BMK-1051</t>
  </si>
  <si>
    <t>BMK-1052</t>
  </si>
  <si>
    <t>BMK-1053</t>
  </si>
  <si>
    <t>InsightHub</t>
  </si>
  <si>
    <t>Usage-Based</t>
  </si>
  <si>
    <t>BMK-1054</t>
  </si>
  <si>
    <t>BMK-1055</t>
  </si>
  <si>
    <t>BMK-1056</t>
  </si>
  <si>
    <t>BMK-1057</t>
  </si>
  <si>
    <t>BMK-1058</t>
  </si>
  <si>
    <t>BMK-1059</t>
  </si>
  <si>
    <t>BMK-1060</t>
  </si>
  <si>
    <t>BMK-1061</t>
  </si>
  <si>
    <t>BMK-1062</t>
  </si>
  <si>
    <t>BMK-1063</t>
  </si>
  <si>
    <t>BMK-1064</t>
  </si>
  <si>
    <t>BMK-1065</t>
  </si>
  <si>
    <t>BMK-1066</t>
  </si>
  <si>
    <t>BMK-1067</t>
  </si>
  <si>
    <t>BMK-1068</t>
  </si>
  <si>
    <t>BMK-1069</t>
  </si>
  <si>
    <t>BMK-1070</t>
  </si>
  <si>
    <t>BMK-1071</t>
  </si>
  <si>
    <t>BMK-1072</t>
  </si>
  <si>
    <t>BMK-1073</t>
  </si>
  <si>
    <t>BMK-1074</t>
  </si>
  <si>
    <t>BMK-1075</t>
  </si>
  <si>
    <t>BMK-1076</t>
  </si>
  <si>
    <t>BMK-1077</t>
  </si>
  <si>
    <t>BMK-1078</t>
  </si>
  <si>
    <t>BMK-1079</t>
  </si>
  <si>
    <t>ApexAnalytics</t>
  </si>
  <si>
    <t>BMK-1080</t>
  </si>
  <si>
    <t>BMK-1081</t>
  </si>
  <si>
    <t>BMK-1082</t>
  </si>
  <si>
    <t>BMK-1083</t>
  </si>
  <si>
    <t>BMK-1084</t>
  </si>
  <si>
    <t>BMK-1085</t>
  </si>
  <si>
    <t>BMK-1086</t>
  </si>
  <si>
    <t>BMK-1087</t>
  </si>
  <si>
    <t>BMK-1088</t>
  </si>
  <si>
    <t>BMK-1089</t>
  </si>
  <si>
    <t>BMK-1090</t>
  </si>
  <si>
    <t>BMK-1091</t>
  </si>
  <si>
    <t>BMK-1092</t>
  </si>
  <si>
    <t>BMK-1093</t>
  </si>
  <si>
    <t>BMK-1094</t>
  </si>
  <si>
    <t>BMK-1095</t>
  </si>
  <si>
    <t>BMK-1096</t>
  </si>
  <si>
    <t>BMK-1097</t>
  </si>
  <si>
    <t>BMK-1098</t>
  </si>
  <si>
    <t>BMK-1099</t>
  </si>
  <si>
    <t>BMK-1100</t>
  </si>
  <si>
    <t>BMK-1101</t>
  </si>
  <si>
    <t>BMK-1102</t>
  </si>
  <si>
    <t>BMK-1103</t>
  </si>
  <si>
    <t>BMK-1104</t>
  </si>
  <si>
    <t>BMK-1105</t>
  </si>
  <si>
    <t>VeloData</t>
  </si>
  <si>
    <t>SMB SaaS</t>
  </si>
  <si>
    <t>Tiered</t>
  </si>
  <si>
    <t>BMK-1106</t>
  </si>
  <si>
    <t>BMK-1107</t>
  </si>
  <si>
    <t>BMK-1108</t>
  </si>
  <si>
    <t>BMK-1109</t>
  </si>
  <si>
    <t>BMK-1110</t>
  </si>
  <si>
    <t>BMK-1111</t>
  </si>
  <si>
    <t>BMK-1112</t>
  </si>
  <si>
    <t>BMK-1113</t>
  </si>
  <si>
    <t>BMK-1114</t>
  </si>
  <si>
    <t>BMK-1115</t>
  </si>
  <si>
    <t>BMK-1116</t>
  </si>
  <si>
    <t>BMK-1117</t>
  </si>
  <si>
    <t>BMK-1118</t>
  </si>
  <si>
    <t>BMK-1119</t>
  </si>
  <si>
    <t>BMK-1120</t>
  </si>
  <si>
    <t>BMK-1121</t>
  </si>
  <si>
    <t>BMK-1122</t>
  </si>
  <si>
    <t>BMK-1123</t>
  </si>
  <si>
    <t>BMK-1124</t>
  </si>
  <si>
    <t>BMK-1125</t>
  </si>
  <si>
    <t>BMK-1126</t>
  </si>
  <si>
    <t>BMK-1127</t>
  </si>
  <si>
    <t>BMK-1128</t>
  </si>
  <si>
    <t>BMK-1129</t>
  </si>
  <si>
    <t>BMK-1130</t>
  </si>
  <si>
    <t>Monthly Price</t>
  </si>
  <si>
    <t>Annual Price</t>
  </si>
  <si>
    <t>Market Share</t>
  </si>
  <si>
    <t>Column Name</t>
  </si>
  <si>
    <t>Description</t>
  </si>
  <si>
    <t>Unique identifier for each benchmarking record</t>
  </si>
  <si>
    <t>Name of our core B2B SaaS product being benchmarked</t>
  </si>
  <si>
    <t>Name of the competing product</t>
  </si>
  <si>
    <t>Market segment classification of the competitor product</t>
  </si>
  <si>
    <t>Functional group to which the feature belongs</t>
  </si>
  <si>
    <t>Specific product capability or feature evaluated</t>
  </si>
  <si>
    <t>Availability status of feature in our product (Available, Partial, Not Available)</t>
  </si>
  <si>
    <t>Availability status of feature in competitor product (Available, Partial, Not Available)</t>
  </si>
  <si>
    <t>Weighting score of feature importance on a scale of 1 to 10</t>
  </si>
  <si>
    <t>Customer request and market demand rating from 1 to 10</t>
  </si>
  <si>
    <t>Average overall customer satisfaction score for our product</t>
  </si>
  <si>
    <t>Average overall customer satisfaction score for competitor</t>
  </si>
  <si>
    <t>Standard base monthly pricing for our product ($)</t>
  </si>
  <si>
    <t>Standard monthly pricing for competitor ($)</t>
  </si>
  <si>
    <t>Billing structure used by the competitor</t>
  </si>
  <si>
    <t>Evaluation score for user interface and usability (1 to 10)</t>
  </si>
  <si>
    <t>Evaluation score for system response speed and reliability (1 to 10)</t>
  </si>
  <si>
    <t>Evaluation score for API capabilities and connectivity (1 to 10)</t>
  </si>
  <si>
    <t>Evaluation score for support responsiveness and quality (1 to 10)</t>
  </si>
  <si>
    <t>Indicates whether mobile application support is provided (Yes/No)</t>
  </si>
  <si>
    <t>Evaluation score for artificial intelligence capabilities (1 to 10)</t>
  </si>
  <si>
    <t>Evaluation score for security, compliance, and governance (1 to 10)</t>
  </si>
  <si>
    <t>Estimated market share percentage of the competitor</t>
  </si>
  <si>
    <t>Quantified score indicating feature shortfall relative to competitor</t>
  </si>
  <si>
    <t>Quantified score showing our competitive edge over competitor</t>
  </si>
  <si>
    <t>Calculated priority metric indicating product expansion value</t>
  </si>
  <si>
    <t>Strategic urgency level assigned (High, Medium, Low)</t>
  </si>
  <si>
    <t>Strategic roadmap direction based on gap analysis</t>
  </si>
  <si>
    <t>Our Feature Score</t>
  </si>
  <si>
    <t>Competitor Feature Score</t>
  </si>
  <si>
    <t>KPI Metric</t>
  </si>
  <si>
    <t>Calculated Value</t>
  </si>
  <si>
    <t>Unit / Format</t>
  </si>
  <si>
    <t>Feature Coverage %</t>
  </si>
  <si>
    <t>Percentage</t>
  </si>
  <si>
    <t>Price Competitiveness Index</t>
  </si>
  <si>
    <t>Ratio</t>
  </si>
  <si>
    <t>Customer Rating Index</t>
  </si>
  <si>
    <t>Market Gap Index</t>
  </si>
  <si>
    <t>Score (0-10)</t>
  </si>
  <si>
    <t>Average Customer Rating</t>
  </si>
  <si>
    <t>Rating (1-5)</t>
  </si>
  <si>
    <t>Average Competitor Rating</t>
  </si>
  <si>
    <t>Average Opportunity Score</t>
  </si>
  <si>
    <t>Score</t>
  </si>
  <si>
    <t>Average Competitive Advantage Score</t>
  </si>
  <si>
    <t>Best Competitor Score</t>
  </si>
  <si>
    <t>Gap Status</t>
  </si>
  <si>
    <t>Gap Category</t>
  </si>
  <si>
    <t>Average Feature Score</t>
  </si>
  <si>
    <t>Average User Experience Score</t>
  </si>
  <si>
    <t>Average Performance Score</t>
  </si>
  <si>
    <t>Average Integration Score</t>
  </si>
  <si>
    <t>Average Customer Support Score</t>
  </si>
  <si>
    <t>Average AI Capability Score</t>
  </si>
  <si>
    <t>Average Security Score</t>
  </si>
  <si>
    <t>Average Market Share %</t>
  </si>
  <si>
    <t>Average Product Price</t>
  </si>
  <si>
    <t>Our Product</t>
  </si>
  <si>
    <t>Customer Demand</t>
  </si>
  <si>
    <t>Business Importance</t>
  </si>
  <si>
    <t>Gap</t>
  </si>
  <si>
    <t>Priority</t>
  </si>
  <si>
    <t>Business Value</t>
  </si>
  <si>
    <t>Competitive Impact</t>
  </si>
  <si>
    <t>Revenue Potential</t>
  </si>
  <si>
    <t>Development Effort</t>
  </si>
  <si>
    <t>Technical Complexity</t>
  </si>
  <si>
    <t>Risk</t>
  </si>
  <si>
    <t>Feature</t>
  </si>
  <si>
    <t>Roadmap Stage</t>
  </si>
  <si>
    <t>Competitive Benchmark Score</t>
  </si>
  <si>
    <t>Customer Experience Score</t>
  </si>
  <si>
    <t>Pricing Competitiveness Score</t>
  </si>
  <si>
    <t>Product Gap Score</t>
  </si>
  <si>
    <t>High Priority Gaps</t>
  </si>
  <si>
    <t>Product Price</t>
  </si>
  <si>
    <t>Rank</t>
  </si>
  <si>
    <t>Critical</t>
  </si>
  <si>
    <t>medium</t>
  </si>
  <si>
    <t>moderate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</si>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</sst>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9"/>
      <color rgb="FF595959"/>
      <name val="Calibri"/>
    </font>
    <font>
      <b/>
      <sz val="18"/>
      <color rgb="FF1F497D"/>
      <name val="Calibri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F2F2F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2" fillId="0" borderId="2" xfId="0" applyFont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0" fontId="2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Competitor Comparison (Avg Feature Score)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1145154558860355"/>
          <c:y val="0.16967299511964187"/>
          <c:w val="0.7472411266612875"/>
          <c:h val="0.687951433126562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'Competitor Comparison'!$B$1</c:f>
              <c:strCache>
                <c:ptCount val="1"/>
                <c:pt idx="0">
                  <c:v>Average Feature Score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'Competitor Comparison'!$A$2:$A$6</c:f>
              <c:strCache>
                <c:ptCount val="5"/>
                <c:pt idx="0">
                  <c:v>DataGlow AI</c:v>
                </c:pt>
                <c:pt idx="1">
                  <c:v>MetricFlow</c:v>
                </c:pt>
                <c:pt idx="2">
                  <c:v>InsightHub</c:v>
                </c:pt>
                <c:pt idx="3">
                  <c:v>ApexAnalytics</c:v>
                </c:pt>
                <c:pt idx="4">
                  <c:v>VeloData</c:v>
                </c:pt>
              </c:strCache>
            </c:strRef>
          </c:cat>
          <c:val>
            <c:numRef>
              <c:f>'Competitor Comparison'!$B$2:$B$6</c:f>
              <c:numCache>
                <c:formatCode>General</c:formatCode>
                <c:ptCount val="5"/>
                <c:pt idx="0">
                  <c:v>5.2115384615384617</c:v>
                </c:pt>
                <c:pt idx="1">
                  <c:v>2.8653846153846154</c:v>
                </c:pt>
                <c:pt idx="2">
                  <c:v>3.3653846153846154</c:v>
                </c:pt>
                <c:pt idx="3">
                  <c:v>3.4807692307692308</c:v>
                </c:pt>
                <c:pt idx="4">
                  <c:v>3.6923076923076925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8-418E-92EE-47FA3164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68005"/>
        <c:axId val="1765683009"/>
      </c:barChart>
      <c:catAx>
        <c:axId val="128268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Avg Feature 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5683009"/>
        <c:crosses val="autoZero"/>
        <c:auto val="0"/>
        <c:lblAlgn val="ctr"/>
        <c:lblOffset val="100"/>
        <c:noMultiLvlLbl val="0"/>
      </c:catAx>
      <c:valAx>
        <c:axId val="17656830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Competitor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268005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Feature Coverage % by Competitor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'Competitor Comparison'!$C$1</c:f>
              <c:strCache>
                <c:ptCount val="1"/>
                <c:pt idx="0">
                  <c:v>Feature Coverage %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'Competitor Comparison'!$A$2:$A$6</c:f>
              <c:strCache>
                <c:ptCount val="5"/>
                <c:pt idx="0">
                  <c:v>DataGlow AI</c:v>
                </c:pt>
                <c:pt idx="1">
                  <c:v>MetricFlow</c:v>
                </c:pt>
                <c:pt idx="2">
                  <c:v>InsightHub</c:v>
                </c:pt>
                <c:pt idx="3">
                  <c:v>ApexAnalytics</c:v>
                </c:pt>
                <c:pt idx="4">
                  <c:v>VeloData</c:v>
                </c:pt>
              </c:strCache>
            </c:strRef>
          </c:cat>
          <c:val>
            <c:numRef>
              <c:f>'Competitor Comparison'!$C$2:$C$6</c:f>
              <c:numCache>
                <c:formatCode>General</c:formatCode>
                <c:ptCount val="5"/>
                <c:pt idx="0">
                  <c:v>0.57692307692307687</c:v>
                </c:pt>
                <c:pt idx="1">
                  <c:v>0.15384615384615385</c:v>
                </c:pt>
                <c:pt idx="2">
                  <c:v>0.19230769230769232</c:v>
                </c:pt>
                <c:pt idx="3">
                  <c:v>0.26923076923076922</c:v>
                </c:pt>
                <c:pt idx="4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B-4FB8-9C8B-C70D1DF03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018488"/>
        <c:axId val="308083413"/>
      </c:barChart>
      <c:catAx>
        <c:axId val="202301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Competitor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8083413"/>
        <c:crosses val="autoZero"/>
        <c:auto val="0"/>
        <c:lblAlgn val="ctr"/>
        <c:lblOffset val="100"/>
        <c:noMultiLvlLbl val="0"/>
      </c:catAx>
      <c:valAx>
        <c:axId val="308083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Coverage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3018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Pricing Comparison ($ Monthly)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'Competitor Comparison'!$N$1</c:f>
              <c:strCache>
                <c:ptCount val="1"/>
                <c:pt idx="0">
                  <c:v>Average Product Price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'Competitor Comparison'!$A$2:$A$6</c:f>
              <c:strCache>
                <c:ptCount val="5"/>
                <c:pt idx="0">
                  <c:v>DataGlow AI</c:v>
                </c:pt>
                <c:pt idx="1">
                  <c:v>MetricFlow</c:v>
                </c:pt>
                <c:pt idx="2">
                  <c:v>InsightHub</c:v>
                </c:pt>
                <c:pt idx="3">
                  <c:v>ApexAnalytics</c:v>
                </c:pt>
                <c:pt idx="4">
                  <c:v>VeloData</c:v>
                </c:pt>
              </c:strCache>
            </c:strRef>
          </c:cat>
          <c:val>
            <c:numRef>
              <c:f>'Competitor Comparison'!$N$2:$N$6</c:f>
              <c:numCache>
                <c:formatCode>General</c:formatCode>
                <c:ptCount val="5"/>
                <c:pt idx="0">
                  <c:v>45</c:v>
                </c:pt>
                <c:pt idx="1">
                  <c:v>120</c:v>
                </c:pt>
                <c:pt idx="2">
                  <c:v>85</c:v>
                </c:pt>
                <c:pt idx="3">
                  <c:v>60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3-4AC4-923C-FDC7561CA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6313171"/>
        <c:axId val="324056015"/>
      </c:barChart>
      <c:catAx>
        <c:axId val="11663131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Price ($)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4056015"/>
        <c:crosses val="autoZero"/>
        <c:auto val="0"/>
        <c:lblAlgn val="ctr"/>
        <c:lblOffset val="100"/>
        <c:noMultiLvlLbl val="0"/>
      </c:catAx>
      <c:valAx>
        <c:axId val="3240560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6313171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Customer Rating Comparison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'Competitor Comparison'!$D$1</c:f>
              <c:strCache>
                <c:ptCount val="1"/>
                <c:pt idx="0">
                  <c:v>Average Customer Rating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'Competitor Comparison'!$A$2:$A$6</c:f>
              <c:strCache>
                <c:ptCount val="5"/>
                <c:pt idx="0">
                  <c:v>DataGlow AI</c:v>
                </c:pt>
                <c:pt idx="1">
                  <c:v>MetricFlow</c:v>
                </c:pt>
                <c:pt idx="2">
                  <c:v>InsightHub</c:v>
                </c:pt>
                <c:pt idx="3">
                  <c:v>ApexAnalytics</c:v>
                </c:pt>
                <c:pt idx="4">
                  <c:v>VeloData</c:v>
                </c:pt>
              </c:strCache>
            </c:strRef>
          </c:cat>
          <c:val>
            <c:numRef>
              <c:f>'Competitor Comparison'!$D$2:$D$6</c:f>
              <c:numCache>
                <c:formatCode>General</c:formatCode>
                <c:ptCount val="5"/>
                <c:pt idx="0">
                  <c:v>4.5</c:v>
                </c:pt>
                <c:pt idx="1">
                  <c:v>4.200000000000002</c:v>
                </c:pt>
                <c:pt idx="2">
                  <c:v>4</c:v>
                </c:pt>
                <c:pt idx="3">
                  <c:v>4.5999999999999979</c:v>
                </c:pt>
                <c:pt idx="4">
                  <c:v>3.799999999999998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0-4A92-860C-0BFF99247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3045859"/>
        <c:axId val="1231832396"/>
      </c:barChart>
      <c:catAx>
        <c:axId val="803045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1832396"/>
        <c:crosses val="autoZero"/>
        <c:auto val="0"/>
        <c:lblAlgn val="ctr"/>
        <c:lblOffset val="100"/>
        <c:noMultiLvlLbl val="0"/>
      </c:catAx>
      <c:valAx>
        <c:axId val="1231832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Rating (1-5)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304585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Opportunity Score by Competitor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'Competitor Comparison'!$K$1</c:f>
              <c:strCache>
                <c:ptCount val="1"/>
                <c:pt idx="0">
                  <c:v>Average Opportunity Score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'Competitor Comparison'!$A$2:$A$6</c:f>
              <c:strCache>
                <c:ptCount val="5"/>
                <c:pt idx="0">
                  <c:v>DataGlow AI</c:v>
                </c:pt>
                <c:pt idx="1">
                  <c:v>MetricFlow</c:v>
                </c:pt>
                <c:pt idx="2">
                  <c:v>InsightHub</c:v>
                </c:pt>
                <c:pt idx="3">
                  <c:v>ApexAnalytics</c:v>
                </c:pt>
                <c:pt idx="4">
                  <c:v>VeloData</c:v>
                </c:pt>
              </c:strCache>
            </c:strRef>
          </c:cat>
          <c:val>
            <c:numRef>
              <c:f>'Competitor Comparison'!$K$2:$K$6</c:f>
              <c:numCache>
                <c:formatCode>General</c:formatCode>
                <c:ptCount val="5"/>
                <c:pt idx="0">
                  <c:v>4.2346153846153847</c:v>
                </c:pt>
                <c:pt idx="1">
                  <c:v>4.8576923076923091</c:v>
                </c:pt>
                <c:pt idx="2">
                  <c:v>5.023076923076923</c:v>
                </c:pt>
                <c:pt idx="3">
                  <c:v>4.8461538461538467</c:v>
                </c:pt>
                <c:pt idx="4">
                  <c:v>4.703846153846154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C-46EE-903C-2DE124E3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502774"/>
        <c:axId val="845511849"/>
      </c:barChart>
      <c:catAx>
        <c:axId val="9595027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5511849"/>
        <c:crosses val="autoZero"/>
        <c:auto val="0"/>
        <c:lblAlgn val="ctr"/>
        <c:lblOffset val="100"/>
        <c:noMultiLvlLbl val="0"/>
      </c:catAx>
      <c:valAx>
        <c:axId val="8455118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9502774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Competitive Positioning Map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Competitive_Positioning!$B$2:$B$6</c:f>
              <c:numCache>
                <c:formatCode>General</c:formatCode>
                <c:ptCount val="5"/>
                <c:pt idx="0">
                  <c:v>45</c:v>
                </c:pt>
                <c:pt idx="1">
                  <c:v>120</c:v>
                </c:pt>
                <c:pt idx="2">
                  <c:v>85</c:v>
                </c:pt>
                <c:pt idx="3">
                  <c:v>60</c:v>
                </c:pt>
                <c:pt idx="4">
                  <c:v>30</c:v>
                </c:pt>
              </c:numCache>
            </c:numRef>
          </c:xVal>
          <c:yVal>
            <c:numRef>
              <c:f>Competitive_Positioning!$C$2:$C$6</c:f>
              <c:numCache>
                <c:formatCode>General</c:formatCode>
                <c:ptCount val="5"/>
                <c:pt idx="0">
                  <c:v>0.57692307692307687</c:v>
                </c:pt>
                <c:pt idx="1">
                  <c:v>0.15384615384615385</c:v>
                </c:pt>
                <c:pt idx="2">
                  <c:v>0.19230769230769232</c:v>
                </c:pt>
                <c:pt idx="3">
                  <c:v>0.26923076923076922</c:v>
                </c:pt>
                <c:pt idx="4">
                  <c:v>0.30769230769230771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1-4CF2-8945-9EBCB731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325103"/>
        <c:axId val="1776060405"/>
      </c:scatterChart>
      <c:valAx>
        <c:axId val="19923251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Product Price ($)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6060405"/>
        <c:crosses val="autoZero"/>
        <c:crossBetween val="midCat"/>
      </c:valAx>
      <c:valAx>
        <c:axId val="1776060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Feature Coverage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232510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Opportunity Prioritization Matrix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'Opportunity Matrix'!$B$2:$B$27</c:f>
              <c:numCache>
                <c:formatCode>General</c:formatCode>
                <c:ptCount val="2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</c:numCache>
            </c:numRef>
          </c:xVal>
          <c:yVal>
            <c:numRef>
              <c:f>'Opportunity Matrix'!$C$2:$C$27</c:f>
              <c:numCache>
                <c:formatCode>General</c:formatCode>
                <c:ptCount val="26"/>
                <c:pt idx="0">
                  <c:v>51</c:v>
                </c:pt>
                <c:pt idx="1">
                  <c:v>51</c:v>
                </c:pt>
                <c:pt idx="2">
                  <c:v>68</c:v>
                </c:pt>
                <c:pt idx="3">
                  <c:v>59.5</c:v>
                </c:pt>
                <c:pt idx="4">
                  <c:v>59.5</c:v>
                </c:pt>
                <c:pt idx="5">
                  <c:v>59.5</c:v>
                </c:pt>
                <c:pt idx="6">
                  <c:v>51</c:v>
                </c:pt>
                <c:pt idx="7">
                  <c:v>85</c:v>
                </c:pt>
                <c:pt idx="8">
                  <c:v>51</c:v>
                </c:pt>
                <c:pt idx="9">
                  <c:v>85</c:v>
                </c:pt>
                <c:pt idx="10">
                  <c:v>76.5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59.5</c:v>
                </c:pt>
                <c:pt idx="15">
                  <c:v>59.5</c:v>
                </c:pt>
                <c:pt idx="16">
                  <c:v>85</c:v>
                </c:pt>
                <c:pt idx="17">
                  <c:v>85</c:v>
                </c:pt>
                <c:pt idx="18">
                  <c:v>51</c:v>
                </c:pt>
                <c:pt idx="19">
                  <c:v>85</c:v>
                </c:pt>
                <c:pt idx="20">
                  <c:v>59.5</c:v>
                </c:pt>
                <c:pt idx="21">
                  <c:v>85</c:v>
                </c:pt>
                <c:pt idx="22">
                  <c:v>76.5</c:v>
                </c:pt>
                <c:pt idx="23">
                  <c:v>59.5</c:v>
                </c:pt>
                <c:pt idx="24">
                  <c:v>76.5</c:v>
                </c:pt>
                <c:pt idx="25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0-4A1A-9D04-82A5CEAF4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5875"/>
        <c:axId val="1785007903"/>
      </c:scatterChart>
      <c:valAx>
        <c:axId val="12855258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Development Effort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5007903"/>
        <c:crosses val="autoZero"/>
        <c:crossBetween val="midCat"/>
      </c:valAx>
      <c:valAx>
        <c:axId val="1785007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Opportunity 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55258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Top 10 Highest-Priority Gaps (Opportunity Score)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'Gap Priority Ranking'!$E$1</c:f>
              <c:strCache>
                <c:ptCount val="1"/>
                <c:pt idx="0">
                  <c:v>Opportunity Score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cat>
            <c:strRef>
              <c:f>'Gap Priority Ranking'!$B$2:$B$11</c:f>
              <c:strCache>
                <c:ptCount val="10"/>
                <c:pt idx="0">
                  <c:v>Automated Insight Generation</c:v>
                </c:pt>
                <c:pt idx="1">
                  <c:v>Forecasting &amp; Trend Projection</c:v>
                </c:pt>
                <c:pt idx="2">
                  <c:v>Role-Based Access Control (RBAC)</c:v>
                </c:pt>
                <c:pt idx="3">
                  <c:v>SOC2 Type II Compliance</c:v>
                </c:pt>
                <c:pt idx="4">
                  <c:v>Data Masking &amp; Encryption at Rest</c:v>
                </c:pt>
                <c:pt idx="5">
                  <c:v>Native iOS &amp; Android App</c:v>
                </c:pt>
                <c:pt idx="6">
                  <c:v>Custom White-Labeling</c:v>
                </c:pt>
                <c:pt idx="7">
                  <c:v>Smart Alerting &amp; Triggers</c:v>
                </c:pt>
                <c:pt idx="8">
                  <c:v>Dark Mode / Custom Themes</c:v>
                </c:pt>
                <c:pt idx="9">
                  <c:v>Multi-Language Localization</c:v>
                </c:pt>
              </c:strCache>
            </c:strRef>
          </c:cat>
          <c:val>
            <c:numRef>
              <c:f>'Gap Priority Ranking'!$E$2:$E$11</c:f>
              <c:numCache>
                <c:formatCode>General</c:formatCode>
                <c:ptCount val="10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76.5</c:v>
                </c:pt>
                <c:pt idx="8">
                  <c:v>76.5</c:v>
                </c:pt>
                <c:pt idx="9">
                  <c:v>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B-4E5E-BBA0-1BAC8239A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5907157"/>
        <c:axId val="1983045167"/>
      </c:barChart>
      <c:catAx>
        <c:axId val="19259071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Opportunity 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3045167"/>
        <c:crosses val="autoZero"/>
        <c:auto val="0"/>
        <c:lblAlgn val="ctr"/>
        <c:lblOffset val="100"/>
        <c:noMultiLvlLbl val="0"/>
      </c:catAx>
      <c:valAx>
        <c:axId val="1983045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Feature Name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5907157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1224615</xdr:colOff>
      <xdr:row>4</xdr:row>
      <xdr:rowOff>45987</xdr:rowOff>
    </xdr:from>
    <xdr:ext cx="5391150" cy="35909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143388</xdr:colOff>
      <xdr:row>3</xdr:row>
      <xdr:rowOff>102420</xdr:rowOff>
    </xdr:from>
    <xdr:ext cx="5391150" cy="359092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1198306</xdr:colOff>
      <xdr:row>23</xdr:row>
      <xdr:rowOff>133145</xdr:rowOff>
    </xdr:from>
    <xdr:ext cx="5391150" cy="3590925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193793</xdr:colOff>
      <xdr:row>23</xdr:row>
      <xdr:rowOff>12452</xdr:rowOff>
    </xdr:from>
    <xdr:ext cx="5391150" cy="3590925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0</xdr:rowOff>
    </xdr:from>
    <xdr:ext cx="5391150" cy="3590925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77000" cy="431482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77000" cy="4314825"/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44450</xdr:colOff>
      <xdr:row>1</xdr:row>
      <xdr:rowOff>6350</xdr:rowOff>
    </xdr:from>
    <xdr:ext cx="5753100" cy="3952875"/>
    <xdr:graphicFrame macro=""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1"/>
  <sheetViews>
    <sheetView workbookViewId="0">
      <selection sqref="A1:XFD1"/>
    </sheetView>
  </sheetViews>
  <sheetFormatPr defaultColWidth="12.6328125" defaultRowHeight="15" customHeight="1"/>
  <cols>
    <col min="1" max="1" width="13.08984375" style="3" customWidth="1"/>
    <col min="2" max="2" width="20.08984375" style="3" customWidth="1"/>
    <col min="3" max="3" width="15.7265625" style="3" customWidth="1"/>
    <col min="4" max="4" width="16.6328125" style="3" customWidth="1"/>
    <col min="5" max="5" width="27.08984375" style="3" customWidth="1"/>
    <col min="6" max="6" width="31.453125" style="3" customWidth="1"/>
    <col min="7" max="7" width="23.6328125" style="3" customWidth="1"/>
    <col min="8" max="8" width="22.7265625" style="3" customWidth="1"/>
    <col min="9" max="9" width="23.6328125" style="3" customWidth="1"/>
    <col min="10" max="10" width="21" style="3" customWidth="1"/>
    <col min="11" max="11" width="15.7265625" style="3" customWidth="1"/>
    <col min="12" max="13" width="17.453125" style="3" customWidth="1"/>
    <col min="14" max="14" width="16.6328125" style="3" customWidth="1"/>
    <col min="15" max="15" width="14.90625" style="3" customWidth="1"/>
    <col min="16" max="16" width="21" style="3" customWidth="1"/>
    <col min="17" max="18" width="17.453125" style="3" customWidth="1"/>
    <col min="19" max="19" width="21.90625" style="3" customWidth="1"/>
    <col min="20" max="20" width="22.7265625" style="3" customWidth="1"/>
    <col min="21" max="21" width="19.26953125" style="3" customWidth="1"/>
    <col min="22" max="23" width="14.90625" style="3" customWidth="1"/>
    <col min="24" max="24" width="17.453125" style="3" customWidth="1"/>
    <col min="25" max="25" width="26.26953125" style="3" customWidth="1"/>
    <col min="26" max="26" width="17.453125" style="3" customWidth="1"/>
    <col min="27" max="27" width="14.90625" style="3" customWidth="1"/>
    <col min="28" max="28" width="18.36328125" style="3" customWidth="1"/>
    <col min="29" max="16384" width="12.6328125" style="3"/>
  </cols>
  <sheetData>
    <row r="1" spans="1:28" s="9" customFormat="1" ht="14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</row>
    <row r="2" spans="1:28" ht="14.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34</v>
      </c>
      <c r="I2" s="4">
        <v>6</v>
      </c>
      <c r="J2" s="4">
        <v>6</v>
      </c>
      <c r="K2" s="4">
        <v>4.5999999999999996</v>
      </c>
      <c r="L2" s="4">
        <v>4.5</v>
      </c>
      <c r="M2" s="4">
        <v>50</v>
      </c>
      <c r="N2" s="4">
        <v>45</v>
      </c>
      <c r="O2" s="4" t="s">
        <v>35</v>
      </c>
      <c r="P2" s="4">
        <v>8</v>
      </c>
      <c r="Q2" s="4">
        <v>9</v>
      </c>
      <c r="R2" s="4">
        <v>7</v>
      </c>
      <c r="S2" s="4">
        <v>8</v>
      </c>
      <c r="T2" s="4" t="s">
        <v>36</v>
      </c>
      <c r="U2" s="4">
        <v>6</v>
      </c>
      <c r="V2" s="4">
        <v>6</v>
      </c>
      <c r="W2" s="4">
        <v>22.5</v>
      </c>
      <c r="X2" s="4">
        <v>0</v>
      </c>
      <c r="Y2" s="4">
        <v>0.1</v>
      </c>
      <c r="Z2" s="4">
        <v>3</v>
      </c>
      <c r="AA2" s="4" t="s">
        <v>37</v>
      </c>
      <c r="AB2" s="4" t="s">
        <v>38</v>
      </c>
    </row>
    <row r="3" spans="1:28" ht="14.5">
      <c r="A3" s="4" t="s">
        <v>39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40</v>
      </c>
      <c r="G3" s="4" t="s">
        <v>34</v>
      </c>
      <c r="H3" s="4" t="s">
        <v>41</v>
      </c>
      <c r="I3" s="4">
        <v>6</v>
      </c>
      <c r="J3" s="4">
        <v>5</v>
      </c>
      <c r="K3" s="4">
        <v>4.3</v>
      </c>
      <c r="L3" s="4">
        <v>4.5</v>
      </c>
      <c r="M3" s="4">
        <v>50</v>
      </c>
      <c r="N3" s="4">
        <v>45</v>
      </c>
      <c r="O3" s="4" t="s">
        <v>35</v>
      </c>
      <c r="P3" s="4">
        <v>8</v>
      </c>
      <c r="Q3" s="4">
        <v>9</v>
      </c>
      <c r="R3" s="4">
        <v>6</v>
      </c>
      <c r="S3" s="4">
        <v>10</v>
      </c>
      <c r="T3" s="4" t="s">
        <v>36</v>
      </c>
      <c r="U3" s="4">
        <v>7</v>
      </c>
      <c r="V3" s="4">
        <v>6</v>
      </c>
      <c r="W3" s="4">
        <v>22.5</v>
      </c>
      <c r="X3" s="4">
        <v>0</v>
      </c>
      <c r="Y3" s="4">
        <v>3.4</v>
      </c>
      <c r="Z3" s="4">
        <v>2.7</v>
      </c>
      <c r="AA3" s="4" t="s">
        <v>37</v>
      </c>
      <c r="AB3" s="4" t="s">
        <v>42</v>
      </c>
    </row>
    <row r="4" spans="1:28" ht="14.5">
      <c r="A4" s="4" t="s">
        <v>43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44</v>
      </c>
      <c r="G4" s="4" t="s">
        <v>34</v>
      </c>
      <c r="H4" s="4" t="s">
        <v>45</v>
      </c>
      <c r="I4" s="4">
        <v>8</v>
      </c>
      <c r="J4" s="4">
        <v>9</v>
      </c>
      <c r="K4" s="4">
        <v>4.8</v>
      </c>
      <c r="L4" s="4">
        <v>4.5</v>
      </c>
      <c r="M4" s="4">
        <v>50</v>
      </c>
      <c r="N4" s="4">
        <v>45</v>
      </c>
      <c r="O4" s="4" t="s">
        <v>35</v>
      </c>
      <c r="P4" s="4">
        <v>8</v>
      </c>
      <c r="Q4" s="4">
        <v>8</v>
      </c>
      <c r="R4" s="4">
        <v>6</v>
      </c>
      <c r="S4" s="4">
        <v>7</v>
      </c>
      <c r="T4" s="4" t="s">
        <v>36</v>
      </c>
      <c r="U4" s="4">
        <v>6</v>
      </c>
      <c r="V4" s="4">
        <v>6</v>
      </c>
      <c r="W4" s="4">
        <v>22.5</v>
      </c>
      <c r="X4" s="4">
        <v>0</v>
      </c>
      <c r="Y4" s="4">
        <v>9.9</v>
      </c>
      <c r="Z4" s="4">
        <v>4.3</v>
      </c>
      <c r="AA4" s="4" t="s">
        <v>37</v>
      </c>
      <c r="AB4" s="4" t="s">
        <v>46</v>
      </c>
    </row>
    <row r="5" spans="1:28" ht="14.5">
      <c r="A5" s="4" t="s">
        <v>47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48</v>
      </c>
      <c r="G5" s="4" t="s">
        <v>34</v>
      </c>
      <c r="H5" s="4" t="s">
        <v>34</v>
      </c>
      <c r="I5" s="4">
        <v>7</v>
      </c>
      <c r="J5" s="4">
        <v>8</v>
      </c>
      <c r="K5" s="4">
        <v>4.3</v>
      </c>
      <c r="L5" s="4">
        <v>4.5</v>
      </c>
      <c r="M5" s="4">
        <v>50</v>
      </c>
      <c r="N5" s="4">
        <v>45</v>
      </c>
      <c r="O5" s="4" t="s">
        <v>35</v>
      </c>
      <c r="P5" s="4">
        <v>8</v>
      </c>
      <c r="Q5" s="4">
        <v>8</v>
      </c>
      <c r="R5" s="4">
        <v>8</v>
      </c>
      <c r="S5" s="4">
        <v>9</v>
      </c>
      <c r="T5" s="4" t="s">
        <v>49</v>
      </c>
      <c r="U5" s="4">
        <v>6</v>
      </c>
      <c r="V5" s="4">
        <v>6</v>
      </c>
      <c r="W5" s="4">
        <v>22.5</v>
      </c>
      <c r="X5" s="4">
        <v>0</v>
      </c>
      <c r="Y5" s="4">
        <v>-0.2</v>
      </c>
      <c r="Z5" s="4">
        <v>3.8</v>
      </c>
      <c r="AA5" s="4" t="s">
        <v>37</v>
      </c>
      <c r="AB5" s="4" t="s">
        <v>38</v>
      </c>
    </row>
    <row r="6" spans="1:28" ht="14.5">
      <c r="A6" s="4" t="s">
        <v>50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51</v>
      </c>
      <c r="G6" s="4" t="s">
        <v>34</v>
      </c>
      <c r="H6" s="4" t="s">
        <v>45</v>
      </c>
      <c r="I6" s="4">
        <v>7</v>
      </c>
      <c r="J6" s="4">
        <v>10</v>
      </c>
      <c r="K6" s="4">
        <v>4.2</v>
      </c>
      <c r="L6" s="4">
        <v>4.5</v>
      </c>
      <c r="M6" s="4">
        <v>50</v>
      </c>
      <c r="N6" s="4">
        <v>45</v>
      </c>
      <c r="O6" s="4" t="s">
        <v>35</v>
      </c>
      <c r="P6" s="4">
        <v>9</v>
      </c>
      <c r="Q6" s="4">
        <v>10</v>
      </c>
      <c r="R6" s="4">
        <v>8</v>
      </c>
      <c r="S6" s="4">
        <v>8</v>
      </c>
      <c r="T6" s="4" t="s">
        <v>36</v>
      </c>
      <c r="U6" s="4">
        <v>4</v>
      </c>
      <c r="V6" s="4">
        <v>7</v>
      </c>
      <c r="W6" s="4">
        <v>22.5</v>
      </c>
      <c r="X6" s="4">
        <v>0</v>
      </c>
      <c r="Y6" s="4">
        <v>8.1</v>
      </c>
      <c r="Z6" s="4">
        <v>4.4000000000000004</v>
      </c>
      <c r="AA6" s="4" t="s">
        <v>37</v>
      </c>
      <c r="AB6" s="4" t="s">
        <v>46</v>
      </c>
    </row>
    <row r="7" spans="1:28" ht="14.5">
      <c r="A7" s="4" t="s">
        <v>52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53</v>
      </c>
      <c r="G7" s="4" t="s">
        <v>34</v>
      </c>
      <c r="H7" s="4" t="s">
        <v>41</v>
      </c>
      <c r="I7" s="4">
        <v>7</v>
      </c>
      <c r="J7" s="4">
        <v>8</v>
      </c>
      <c r="K7" s="4">
        <v>4.2</v>
      </c>
      <c r="L7" s="4">
        <v>4.5</v>
      </c>
      <c r="M7" s="4">
        <v>50</v>
      </c>
      <c r="N7" s="4">
        <v>45</v>
      </c>
      <c r="O7" s="4" t="s">
        <v>35</v>
      </c>
      <c r="P7" s="4">
        <v>7</v>
      </c>
      <c r="Q7" s="4">
        <v>9</v>
      </c>
      <c r="R7" s="4">
        <v>7</v>
      </c>
      <c r="S7" s="4">
        <v>10</v>
      </c>
      <c r="T7" s="4" t="s">
        <v>49</v>
      </c>
      <c r="U7" s="4">
        <v>7</v>
      </c>
      <c r="V7" s="4">
        <v>7</v>
      </c>
      <c r="W7" s="4">
        <v>22.5</v>
      </c>
      <c r="X7" s="4">
        <v>0</v>
      </c>
      <c r="Y7" s="4">
        <v>3.9</v>
      </c>
      <c r="Z7" s="4">
        <v>3.8</v>
      </c>
      <c r="AA7" s="4" t="s">
        <v>37</v>
      </c>
      <c r="AB7" s="4" t="s">
        <v>42</v>
      </c>
    </row>
    <row r="8" spans="1:28" ht="14.5">
      <c r="A8" s="4" t="s">
        <v>54</v>
      </c>
      <c r="B8" s="4" t="s">
        <v>29</v>
      </c>
      <c r="C8" s="4" t="s">
        <v>30</v>
      </c>
      <c r="D8" s="4" t="s">
        <v>31</v>
      </c>
      <c r="E8" s="4" t="s">
        <v>55</v>
      </c>
      <c r="F8" s="4" t="s">
        <v>56</v>
      </c>
      <c r="G8" s="4" t="s">
        <v>34</v>
      </c>
      <c r="H8" s="4" t="s">
        <v>34</v>
      </c>
      <c r="I8" s="4">
        <v>6</v>
      </c>
      <c r="J8" s="4">
        <v>6</v>
      </c>
      <c r="K8" s="4">
        <v>4.7</v>
      </c>
      <c r="L8" s="4">
        <v>4.5</v>
      </c>
      <c r="M8" s="4">
        <v>50</v>
      </c>
      <c r="N8" s="4">
        <v>45</v>
      </c>
      <c r="O8" s="4" t="s">
        <v>35</v>
      </c>
      <c r="P8" s="4">
        <v>10</v>
      </c>
      <c r="Q8" s="4">
        <v>9</v>
      </c>
      <c r="R8" s="4">
        <v>10</v>
      </c>
      <c r="S8" s="4">
        <v>10</v>
      </c>
      <c r="T8" s="4" t="s">
        <v>36</v>
      </c>
      <c r="U8" s="4">
        <v>10</v>
      </c>
      <c r="V8" s="4">
        <v>8</v>
      </c>
      <c r="W8" s="4">
        <v>22.5</v>
      </c>
      <c r="X8" s="4">
        <v>0</v>
      </c>
      <c r="Y8" s="4">
        <v>0.2</v>
      </c>
      <c r="Z8" s="4">
        <v>3</v>
      </c>
      <c r="AA8" s="4" t="s">
        <v>37</v>
      </c>
      <c r="AB8" s="4" t="s">
        <v>38</v>
      </c>
    </row>
    <row r="9" spans="1:28" ht="14.5">
      <c r="A9" s="4" t="s">
        <v>57</v>
      </c>
      <c r="B9" s="4" t="s">
        <v>29</v>
      </c>
      <c r="C9" s="4" t="s">
        <v>30</v>
      </c>
      <c r="D9" s="4" t="s">
        <v>31</v>
      </c>
      <c r="E9" s="4" t="s">
        <v>55</v>
      </c>
      <c r="F9" s="4" t="s">
        <v>58</v>
      </c>
      <c r="G9" s="4" t="s">
        <v>34</v>
      </c>
      <c r="H9" s="4" t="s">
        <v>34</v>
      </c>
      <c r="I9" s="4">
        <v>10</v>
      </c>
      <c r="J9" s="4">
        <v>9</v>
      </c>
      <c r="K9" s="4">
        <v>4.4000000000000004</v>
      </c>
      <c r="L9" s="4">
        <v>4.5</v>
      </c>
      <c r="M9" s="4">
        <v>50</v>
      </c>
      <c r="N9" s="4">
        <v>45</v>
      </c>
      <c r="O9" s="4" t="s">
        <v>35</v>
      </c>
      <c r="P9" s="4">
        <v>6</v>
      </c>
      <c r="Q9" s="4">
        <v>7</v>
      </c>
      <c r="R9" s="4">
        <v>7</v>
      </c>
      <c r="S9" s="4">
        <v>8</v>
      </c>
      <c r="T9" s="4" t="s">
        <v>36</v>
      </c>
      <c r="U9" s="4">
        <v>10</v>
      </c>
      <c r="V9" s="4">
        <v>6</v>
      </c>
      <c r="W9" s="4">
        <v>22.5</v>
      </c>
      <c r="X9" s="4">
        <v>0</v>
      </c>
      <c r="Y9" s="4">
        <v>-0.1</v>
      </c>
      <c r="Z9" s="4">
        <v>4.7</v>
      </c>
      <c r="AA9" s="4" t="s">
        <v>37</v>
      </c>
      <c r="AB9" s="4" t="s">
        <v>38</v>
      </c>
    </row>
    <row r="10" spans="1:28" ht="14.5">
      <c r="A10" s="4" t="s">
        <v>59</v>
      </c>
      <c r="B10" s="4" t="s">
        <v>29</v>
      </c>
      <c r="C10" s="4" t="s">
        <v>30</v>
      </c>
      <c r="D10" s="4" t="s">
        <v>31</v>
      </c>
      <c r="E10" s="4" t="s">
        <v>55</v>
      </c>
      <c r="F10" s="4" t="s">
        <v>60</v>
      </c>
      <c r="G10" s="4" t="s">
        <v>41</v>
      </c>
      <c r="H10" s="4" t="s">
        <v>41</v>
      </c>
      <c r="I10" s="4">
        <v>6</v>
      </c>
      <c r="J10" s="4">
        <v>9</v>
      </c>
      <c r="K10" s="4">
        <v>4.9000000000000004</v>
      </c>
      <c r="L10" s="4">
        <v>4.5</v>
      </c>
      <c r="M10" s="4">
        <v>50</v>
      </c>
      <c r="N10" s="4">
        <v>45</v>
      </c>
      <c r="O10" s="4" t="s">
        <v>35</v>
      </c>
      <c r="P10" s="4">
        <v>10</v>
      </c>
      <c r="Q10" s="4">
        <v>9</v>
      </c>
      <c r="R10" s="4">
        <v>10</v>
      </c>
      <c r="S10" s="4">
        <v>7</v>
      </c>
      <c r="T10" s="4" t="s">
        <v>36</v>
      </c>
      <c r="U10" s="4">
        <v>7</v>
      </c>
      <c r="V10" s="4">
        <v>8</v>
      </c>
      <c r="W10" s="4">
        <v>22.5</v>
      </c>
      <c r="X10" s="4">
        <v>0</v>
      </c>
      <c r="Y10" s="4">
        <v>0.4</v>
      </c>
      <c r="Z10" s="4">
        <v>7.8</v>
      </c>
      <c r="AA10" s="4" t="s">
        <v>61</v>
      </c>
      <c r="AB10" s="4" t="s">
        <v>38</v>
      </c>
    </row>
    <row r="11" spans="1:28" ht="14.5">
      <c r="A11" s="4" t="s">
        <v>62</v>
      </c>
      <c r="B11" s="4" t="s">
        <v>29</v>
      </c>
      <c r="C11" s="4" t="s">
        <v>30</v>
      </c>
      <c r="D11" s="4" t="s">
        <v>31</v>
      </c>
      <c r="E11" s="4" t="s">
        <v>55</v>
      </c>
      <c r="F11" s="4" t="s">
        <v>63</v>
      </c>
      <c r="G11" s="4" t="s">
        <v>34</v>
      </c>
      <c r="H11" s="4" t="s">
        <v>34</v>
      </c>
      <c r="I11" s="4">
        <v>10</v>
      </c>
      <c r="J11" s="4">
        <v>7</v>
      </c>
      <c r="K11" s="4">
        <v>4.4000000000000004</v>
      </c>
      <c r="L11" s="4">
        <v>4.5</v>
      </c>
      <c r="M11" s="4">
        <v>50</v>
      </c>
      <c r="N11" s="4">
        <v>45</v>
      </c>
      <c r="O11" s="4" t="s">
        <v>35</v>
      </c>
      <c r="P11" s="4">
        <v>9</v>
      </c>
      <c r="Q11" s="4">
        <v>7</v>
      </c>
      <c r="R11" s="4">
        <v>8</v>
      </c>
      <c r="S11" s="4">
        <v>8</v>
      </c>
      <c r="T11" s="4" t="s">
        <v>36</v>
      </c>
      <c r="U11" s="4">
        <v>7</v>
      </c>
      <c r="V11" s="4">
        <v>8</v>
      </c>
      <c r="W11" s="4">
        <v>22.5</v>
      </c>
      <c r="X11" s="4">
        <v>0</v>
      </c>
      <c r="Y11" s="4">
        <v>-0.1</v>
      </c>
      <c r="Z11" s="4">
        <v>4.0999999999999996</v>
      </c>
      <c r="AA11" s="4" t="s">
        <v>37</v>
      </c>
      <c r="AB11" s="4" t="s">
        <v>38</v>
      </c>
    </row>
    <row r="12" spans="1:28" ht="14.5">
      <c r="A12" s="4" t="s">
        <v>64</v>
      </c>
      <c r="B12" s="4" t="s">
        <v>29</v>
      </c>
      <c r="C12" s="4" t="s">
        <v>30</v>
      </c>
      <c r="D12" s="4" t="s">
        <v>31</v>
      </c>
      <c r="E12" s="4" t="s">
        <v>55</v>
      </c>
      <c r="F12" s="4" t="s">
        <v>65</v>
      </c>
      <c r="G12" s="4" t="s">
        <v>34</v>
      </c>
      <c r="H12" s="4" t="s">
        <v>34</v>
      </c>
      <c r="I12" s="4">
        <v>9</v>
      </c>
      <c r="J12" s="4">
        <v>7</v>
      </c>
      <c r="K12" s="4">
        <v>4.7</v>
      </c>
      <c r="L12" s="4">
        <v>4.5</v>
      </c>
      <c r="M12" s="4">
        <v>50</v>
      </c>
      <c r="N12" s="4">
        <v>45</v>
      </c>
      <c r="O12" s="4" t="s">
        <v>35</v>
      </c>
      <c r="P12" s="4">
        <v>10</v>
      </c>
      <c r="Q12" s="4">
        <v>7</v>
      </c>
      <c r="R12" s="4">
        <v>10</v>
      </c>
      <c r="S12" s="4">
        <v>9</v>
      </c>
      <c r="T12" s="4" t="s">
        <v>36</v>
      </c>
      <c r="U12" s="4">
        <v>7</v>
      </c>
      <c r="V12" s="4">
        <v>8</v>
      </c>
      <c r="W12" s="4">
        <v>22.5</v>
      </c>
      <c r="X12" s="4">
        <v>0</v>
      </c>
      <c r="Y12" s="4">
        <v>0.2</v>
      </c>
      <c r="Z12" s="4">
        <v>3.9</v>
      </c>
      <c r="AA12" s="4" t="s">
        <v>37</v>
      </c>
      <c r="AB12" s="4" t="s">
        <v>38</v>
      </c>
    </row>
    <row r="13" spans="1:28" ht="14.5">
      <c r="A13" s="4" t="s">
        <v>66</v>
      </c>
      <c r="B13" s="4" t="s">
        <v>29</v>
      </c>
      <c r="C13" s="4" t="s">
        <v>30</v>
      </c>
      <c r="D13" s="4" t="s">
        <v>31</v>
      </c>
      <c r="E13" s="4" t="s">
        <v>67</v>
      </c>
      <c r="F13" s="4" t="s">
        <v>68</v>
      </c>
      <c r="G13" s="4" t="s">
        <v>34</v>
      </c>
      <c r="H13" s="4" t="s">
        <v>34</v>
      </c>
      <c r="I13" s="4">
        <v>6</v>
      </c>
      <c r="J13" s="4">
        <v>5</v>
      </c>
      <c r="K13" s="4">
        <v>4.2</v>
      </c>
      <c r="L13" s="4">
        <v>4.5</v>
      </c>
      <c r="M13" s="4">
        <v>50</v>
      </c>
      <c r="N13" s="4">
        <v>45</v>
      </c>
      <c r="O13" s="4" t="s">
        <v>35</v>
      </c>
      <c r="P13" s="4">
        <v>10</v>
      </c>
      <c r="Q13" s="4">
        <v>7</v>
      </c>
      <c r="R13" s="4">
        <v>6</v>
      </c>
      <c r="S13" s="4">
        <v>10</v>
      </c>
      <c r="T13" s="4" t="s">
        <v>36</v>
      </c>
      <c r="U13" s="4">
        <v>8</v>
      </c>
      <c r="V13" s="4">
        <v>7</v>
      </c>
      <c r="W13" s="4">
        <v>22.5</v>
      </c>
      <c r="X13" s="4">
        <v>0</v>
      </c>
      <c r="Y13" s="4">
        <v>-0.3</v>
      </c>
      <c r="Z13" s="4">
        <v>2.7</v>
      </c>
      <c r="AA13" s="4" t="s">
        <v>37</v>
      </c>
      <c r="AB13" s="4" t="s">
        <v>38</v>
      </c>
    </row>
    <row r="14" spans="1:28" ht="14.5">
      <c r="A14" s="4" t="s">
        <v>69</v>
      </c>
      <c r="B14" s="4" t="s">
        <v>29</v>
      </c>
      <c r="C14" s="4" t="s">
        <v>30</v>
      </c>
      <c r="D14" s="4" t="s">
        <v>31</v>
      </c>
      <c r="E14" s="4" t="s">
        <v>67</v>
      </c>
      <c r="F14" s="4" t="s">
        <v>70</v>
      </c>
      <c r="G14" s="4" t="s">
        <v>34</v>
      </c>
      <c r="H14" s="4" t="s">
        <v>45</v>
      </c>
      <c r="I14" s="4">
        <v>6</v>
      </c>
      <c r="J14" s="4">
        <v>8</v>
      </c>
      <c r="K14" s="4">
        <v>4.9000000000000004</v>
      </c>
      <c r="L14" s="4">
        <v>4.5</v>
      </c>
      <c r="M14" s="4">
        <v>50</v>
      </c>
      <c r="N14" s="4">
        <v>45</v>
      </c>
      <c r="O14" s="4" t="s">
        <v>35</v>
      </c>
      <c r="P14" s="4">
        <v>7</v>
      </c>
      <c r="Q14" s="4">
        <v>9</v>
      </c>
      <c r="R14" s="4">
        <v>10</v>
      </c>
      <c r="S14" s="4">
        <v>10</v>
      </c>
      <c r="T14" s="4" t="s">
        <v>36</v>
      </c>
      <c r="U14" s="4">
        <v>8</v>
      </c>
      <c r="V14" s="4">
        <v>7</v>
      </c>
      <c r="W14" s="4">
        <v>22.5</v>
      </c>
      <c r="X14" s="4">
        <v>0</v>
      </c>
      <c r="Y14" s="4">
        <v>7.6</v>
      </c>
      <c r="Z14" s="4">
        <v>3.6</v>
      </c>
      <c r="AA14" s="4" t="s">
        <v>37</v>
      </c>
      <c r="AB14" s="4" t="s">
        <v>46</v>
      </c>
    </row>
    <row r="15" spans="1:28" ht="14.5">
      <c r="A15" s="4" t="s">
        <v>71</v>
      </c>
      <c r="B15" s="4" t="s">
        <v>29</v>
      </c>
      <c r="C15" s="4" t="s">
        <v>30</v>
      </c>
      <c r="D15" s="4" t="s">
        <v>31</v>
      </c>
      <c r="E15" s="4" t="s">
        <v>67</v>
      </c>
      <c r="F15" s="4" t="s">
        <v>72</v>
      </c>
      <c r="G15" s="4" t="s">
        <v>34</v>
      </c>
      <c r="H15" s="4" t="s">
        <v>41</v>
      </c>
      <c r="I15" s="4">
        <v>6</v>
      </c>
      <c r="J15" s="4">
        <v>10</v>
      </c>
      <c r="K15" s="4">
        <v>4.5999999999999996</v>
      </c>
      <c r="L15" s="4">
        <v>4.5</v>
      </c>
      <c r="M15" s="4">
        <v>50</v>
      </c>
      <c r="N15" s="4">
        <v>45</v>
      </c>
      <c r="O15" s="4" t="s">
        <v>35</v>
      </c>
      <c r="P15" s="4">
        <v>9</v>
      </c>
      <c r="Q15" s="4">
        <v>10</v>
      </c>
      <c r="R15" s="4">
        <v>6</v>
      </c>
      <c r="S15" s="4">
        <v>8</v>
      </c>
      <c r="T15" s="4" t="s">
        <v>49</v>
      </c>
      <c r="U15" s="4">
        <v>6</v>
      </c>
      <c r="V15" s="4">
        <v>6</v>
      </c>
      <c r="W15" s="4">
        <v>22.5</v>
      </c>
      <c r="X15" s="4">
        <v>0</v>
      </c>
      <c r="Y15" s="4">
        <v>3.7</v>
      </c>
      <c r="Z15" s="4">
        <v>4.2</v>
      </c>
      <c r="AA15" s="4" t="s">
        <v>37</v>
      </c>
      <c r="AB15" s="4" t="s">
        <v>42</v>
      </c>
    </row>
    <row r="16" spans="1:28" ht="14.5">
      <c r="A16" s="4" t="s">
        <v>73</v>
      </c>
      <c r="B16" s="4" t="s">
        <v>29</v>
      </c>
      <c r="C16" s="4" t="s">
        <v>30</v>
      </c>
      <c r="D16" s="4" t="s">
        <v>31</v>
      </c>
      <c r="E16" s="4" t="s">
        <v>67</v>
      </c>
      <c r="F16" s="4" t="s">
        <v>74</v>
      </c>
      <c r="G16" s="4" t="s">
        <v>34</v>
      </c>
      <c r="H16" s="4" t="s">
        <v>45</v>
      </c>
      <c r="I16" s="4">
        <v>7</v>
      </c>
      <c r="J16" s="4">
        <v>6</v>
      </c>
      <c r="K16" s="4">
        <v>4</v>
      </c>
      <c r="L16" s="4">
        <v>4.5</v>
      </c>
      <c r="M16" s="4">
        <v>50</v>
      </c>
      <c r="N16" s="4">
        <v>45</v>
      </c>
      <c r="O16" s="4" t="s">
        <v>35</v>
      </c>
      <c r="P16" s="4">
        <v>6</v>
      </c>
      <c r="Q16" s="4">
        <v>8</v>
      </c>
      <c r="R16" s="4">
        <v>6</v>
      </c>
      <c r="S16" s="4">
        <v>7</v>
      </c>
      <c r="T16" s="4" t="s">
        <v>36</v>
      </c>
      <c r="U16" s="4">
        <v>4</v>
      </c>
      <c r="V16" s="4">
        <v>7</v>
      </c>
      <c r="W16" s="4">
        <v>22.5</v>
      </c>
      <c r="X16" s="4">
        <v>0</v>
      </c>
      <c r="Y16" s="4">
        <v>7.9</v>
      </c>
      <c r="Z16" s="4">
        <v>3.2</v>
      </c>
      <c r="AA16" s="4" t="s">
        <v>37</v>
      </c>
      <c r="AB16" s="4" t="s">
        <v>46</v>
      </c>
    </row>
    <row r="17" spans="1:28" ht="14.5">
      <c r="A17" s="4" t="s">
        <v>75</v>
      </c>
      <c r="B17" s="4" t="s">
        <v>29</v>
      </c>
      <c r="C17" s="4" t="s">
        <v>30</v>
      </c>
      <c r="D17" s="4" t="s">
        <v>31</v>
      </c>
      <c r="E17" s="4" t="s">
        <v>67</v>
      </c>
      <c r="F17" s="4" t="s">
        <v>76</v>
      </c>
      <c r="G17" s="4" t="s">
        <v>34</v>
      </c>
      <c r="H17" s="4" t="s">
        <v>45</v>
      </c>
      <c r="I17" s="4">
        <v>7</v>
      </c>
      <c r="J17" s="4">
        <v>8</v>
      </c>
      <c r="K17" s="4">
        <v>4.2</v>
      </c>
      <c r="L17" s="4">
        <v>4.5</v>
      </c>
      <c r="M17" s="4">
        <v>50</v>
      </c>
      <c r="N17" s="4">
        <v>45</v>
      </c>
      <c r="O17" s="4" t="s">
        <v>35</v>
      </c>
      <c r="P17" s="4">
        <v>7</v>
      </c>
      <c r="Q17" s="4">
        <v>10</v>
      </c>
      <c r="R17" s="4">
        <v>7</v>
      </c>
      <c r="S17" s="4">
        <v>10</v>
      </c>
      <c r="T17" s="4" t="s">
        <v>36</v>
      </c>
      <c r="U17" s="4">
        <v>5</v>
      </c>
      <c r="V17" s="4">
        <v>6</v>
      </c>
      <c r="W17" s="4">
        <v>22.5</v>
      </c>
      <c r="X17" s="4">
        <v>0</v>
      </c>
      <c r="Y17" s="4">
        <v>8.1</v>
      </c>
      <c r="Z17" s="4">
        <v>3.8</v>
      </c>
      <c r="AA17" s="4" t="s">
        <v>37</v>
      </c>
      <c r="AB17" s="4" t="s">
        <v>46</v>
      </c>
    </row>
    <row r="18" spans="1:28" ht="14.5">
      <c r="A18" s="4" t="s">
        <v>77</v>
      </c>
      <c r="B18" s="4" t="s">
        <v>29</v>
      </c>
      <c r="C18" s="4" t="s">
        <v>30</v>
      </c>
      <c r="D18" s="4" t="s">
        <v>31</v>
      </c>
      <c r="E18" s="4" t="s">
        <v>78</v>
      </c>
      <c r="F18" s="4" t="s">
        <v>79</v>
      </c>
      <c r="G18" s="4" t="s">
        <v>34</v>
      </c>
      <c r="H18" s="4" t="s">
        <v>45</v>
      </c>
      <c r="I18" s="4">
        <v>10</v>
      </c>
      <c r="J18" s="4">
        <v>8</v>
      </c>
      <c r="K18" s="4">
        <v>4.3</v>
      </c>
      <c r="L18" s="4">
        <v>4.5</v>
      </c>
      <c r="M18" s="4">
        <v>50</v>
      </c>
      <c r="N18" s="4">
        <v>45</v>
      </c>
      <c r="O18" s="4" t="s">
        <v>35</v>
      </c>
      <c r="P18" s="4">
        <v>9</v>
      </c>
      <c r="Q18" s="4">
        <v>10</v>
      </c>
      <c r="R18" s="4">
        <v>6</v>
      </c>
      <c r="S18" s="4">
        <v>7</v>
      </c>
      <c r="T18" s="4" t="s">
        <v>49</v>
      </c>
      <c r="U18" s="4">
        <v>6</v>
      </c>
      <c r="V18" s="4">
        <v>8</v>
      </c>
      <c r="W18" s="4">
        <v>22.5</v>
      </c>
      <c r="X18" s="4">
        <v>0</v>
      </c>
      <c r="Y18" s="4">
        <v>11.8</v>
      </c>
      <c r="Z18" s="4">
        <v>4.4000000000000004</v>
      </c>
      <c r="AA18" s="4" t="s">
        <v>37</v>
      </c>
      <c r="AB18" s="4" t="s">
        <v>46</v>
      </c>
    </row>
    <row r="19" spans="1:28" ht="14.5">
      <c r="A19" s="4" t="s">
        <v>80</v>
      </c>
      <c r="B19" s="4" t="s">
        <v>29</v>
      </c>
      <c r="C19" s="4" t="s">
        <v>30</v>
      </c>
      <c r="D19" s="4" t="s">
        <v>31</v>
      </c>
      <c r="E19" s="4" t="s">
        <v>78</v>
      </c>
      <c r="F19" s="4" t="s">
        <v>81</v>
      </c>
      <c r="G19" s="4" t="s">
        <v>34</v>
      </c>
      <c r="H19" s="4" t="s">
        <v>34</v>
      </c>
      <c r="I19" s="4">
        <v>10</v>
      </c>
      <c r="J19" s="4">
        <v>6</v>
      </c>
      <c r="K19" s="4">
        <v>4.5</v>
      </c>
      <c r="L19" s="4">
        <v>4.5</v>
      </c>
      <c r="M19" s="4">
        <v>50</v>
      </c>
      <c r="N19" s="4">
        <v>45</v>
      </c>
      <c r="O19" s="4" t="s">
        <v>35</v>
      </c>
      <c r="P19" s="4">
        <v>7</v>
      </c>
      <c r="Q19" s="4">
        <v>10</v>
      </c>
      <c r="R19" s="4">
        <v>7</v>
      </c>
      <c r="S19" s="4">
        <v>9</v>
      </c>
      <c r="T19" s="4" t="s">
        <v>36</v>
      </c>
      <c r="U19" s="4">
        <v>4</v>
      </c>
      <c r="V19" s="4">
        <v>9</v>
      </c>
      <c r="W19" s="4">
        <v>22.5</v>
      </c>
      <c r="X19" s="4">
        <v>0</v>
      </c>
      <c r="Y19" s="4">
        <v>0</v>
      </c>
      <c r="Z19" s="4">
        <v>3.8</v>
      </c>
      <c r="AA19" s="4" t="s">
        <v>37</v>
      </c>
      <c r="AB19" s="4" t="s">
        <v>38</v>
      </c>
    </row>
    <row r="20" spans="1:28" ht="14.5">
      <c r="A20" s="4" t="s">
        <v>82</v>
      </c>
      <c r="B20" s="4" t="s">
        <v>29</v>
      </c>
      <c r="C20" s="4" t="s">
        <v>30</v>
      </c>
      <c r="D20" s="4" t="s">
        <v>31</v>
      </c>
      <c r="E20" s="4" t="s">
        <v>78</v>
      </c>
      <c r="F20" s="4" t="s">
        <v>83</v>
      </c>
      <c r="G20" s="4" t="s">
        <v>34</v>
      </c>
      <c r="H20" s="4" t="s">
        <v>34</v>
      </c>
      <c r="I20" s="4">
        <v>6</v>
      </c>
      <c r="J20" s="4">
        <v>10</v>
      </c>
      <c r="K20" s="4">
        <v>4.9000000000000004</v>
      </c>
      <c r="L20" s="4">
        <v>4.5</v>
      </c>
      <c r="M20" s="4">
        <v>50</v>
      </c>
      <c r="N20" s="4">
        <v>45</v>
      </c>
      <c r="O20" s="4" t="s">
        <v>35</v>
      </c>
      <c r="P20" s="4">
        <v>6</v>
      </c>
      <c r="Q20" s="4">
        <v>7</v>
      </c>
      <c r="R20" s="4">
        <v>7</v>
      </c>
      <c r="S20" s="4">
        <v>8</v>
      </c>
      <c r="T20" s="4" t="s">
        <v>36</v>
      </c>
      <c r="U20" s="4">
        <v>7</v>
      </c>
      <c r="V20" s="4">
        <v>8</v>
      </c>
      <c r="W20" s="4">
        <v>22.5</v>
      </c>
      <c r="X20" s="4">
        <v>0</v>
      </c>
      <c r="Y20" s="4">
        <v>0.4</v>
      </c>
      <c r="Z20" s="4">
        <v>4.2</v>
      </c>
      <c r="AA20" s="4" t="s">
        <v>37</v>
      </c>
      <c r="AB20" s="4" t="s">
        <v>38</v>
      </c>
    </row>
    <row r="21" spans="1:28" ht="15.75" customHeight="1">
      <c r="A21" s="4" t="s">
        <v>84</v>
      </c>
      <c r="B21" s="4" t="s">
        <v>29</v>
      </c>
      <c r="C21" s="4" t="s">
        <v>30</v>
      </c>
      <c r="D21" s="4" t="s">
        <v>31</v>
      </c>
      <c r="E21" s="4" t="s">
        <v>78</v>
      </c>
      <c r="F21" s="4" t="s">
        <v>85</v>
      </c>
      <c r="G21" s="4" t="s">
        <v>41</v>
      </c>
      <c r="H21" s="4" t="s">
        <v>34</v>
      </c>
      <c r="I21" s="4">
        <v>10</v>
      </c>
      <c r="J21" s="4">
        <v>6</v>
      </c>
      <c r="K21" s="4">
        <v>4.3</v>
      </c>
      <c r="L21" s="4">
        <v>4.5</v>
      </c>
      <c r="M21" s="4">
        <v>50</v>
      </c>
      <c r="N21" s="4">
        <v>45</v>
      </c>
      <c r="O21" s="4" t="s">
        <v>35</v>
      </c>
      <c r="P21" s="4">
        <v>9</v>
      </c>
      <c r="Q21" s="4">
        <v>9</v>
      </c>
      <c r="R21" s="4">
        <v>9</v>
      </c>
      <c r="S21" s="4">
        <v>9</v>
      </c>
      <c r="T21" s="4" t="s">
        <v>36</v>
      </c>
      <c r="U21" s="4">
        <v>8</v>
      </c>
      <c r="V21" s="4">
        <v>10</v>
      </c>
      <c r="W21" s="4">
        <v>22.5</v>
      </c>
      <c r="X21" s="4">
        <v>7.5</v>
      </c>
      <c r="Y21" s="4">
        <v>-6.2</v>
      </c>
      <c r="Z21" s="4">
        <v>7.6</v>
      </c>
      <c r="AA21" s="4" t="s">
        <v>86</v>
      </c>
      <c r="AB21" s="4" t="s">
        <v>87</v>
      </c>
    </row>
    <row r="22" spans="1:28" ht="15.75" customHeight="1">
      <c r="A22" s="4" t="s">
        <v>88</v>
      </c>
      <c r="B22" s="4" t="s">
        <v>29</v>
      </c>
      <c r="C22" s="4" t="s">
        <v>30</v>
      </c>
      <c r="D22" s="4" t="s">
        <v>31</v>
      </c>
      <c r="E22" s="4" t="s">
        <v>78</v>
      </c>
      <c r="F22" s="4" t="s">
        <v>89</v>
      </c>
      <c r="G22" s="4" t="s">
        <v>41</v>
      </c>
      <c r="H22" s="4" t="s">
        <v>34</v>
      </c>
      <c r="I22" s="4">
        <v>7</v>
      </c>
      <c r="J22" s="4">
        <v>6</v>
      </c>
      <c r="K22" s="4">
        <v>4.3</v>
      </c>
      <c r="L22" s="4">
        <v>4.5</v>
      </c>
      <c r="M22" s="4">
        <v>50</v>
      </c>
      <c r="N22" s="4">
        <v>45</v>
      </c>
      <c r="O22" s="4" t="s">
        <v>35</v>
      </c>
      <c r="P22" s="4">
        <v>6</v>
      </c>
      <c r="Q22" s="4">
        <v>7</v>
      </c>
      <c r="R22" s="4">
        <v>8</v>
      </c>
      <c r="S22" s="4">
        <v>7</v>
      </c>
      <c r="T22" s="4" t="s">
        <v>49</v>
      </c>
      <c r="U22" s="4">
        <v>7</v>
      </c>
      <c r="V22" s="4">
        <v>10</v>
      </c>
      <c r="W22" s="4">
        <v>22.5</v>
      </c>
      <c r="X22" s="4">
        <v>5.25</v>
      </c>
      <c r="Y22" s="4">
        <v>-4.4000000000000004</v>
      </c>
      <c r="Z22" s="4">
        <v>6.4</v>
      </c>
      <c r="AA22" s="4" t="s">
        <v>86</v>
      </c>
      <c r="AB22" s="4" t="s">
        <v>87</v>
      </c>
    </row>
    <row r="23" spans="1:28" ht="15.75" customHeight="1">
      <c r="A23" s="4" t="s">
        <v>90</v>
      </c>
      <c r="B23" s="4" t="s">
        <v>29</v>
      </c>
      <c r="C23" s="4" t="s">
        <v>30</v>
      </c>
      <c r="D23" s="4" t="s">
        <v>31</v>
      </c>
      <c r="E23" s="4" t="s">
        <v>91</v>
      </c>
      <c r="F23" s="4" t="s">
        <v>92</v>
      </c>
      <c r="G23" s="4" t="s">
        <v>34</v>
      </c>
      <c r="H23" s="4" t="s">
        <v>34</v>
      </c>
      <c r="I23" s="4">
        <v>10</v>
      </c>
      <c r="J23" s="4">
        <v>9</v>
      </c>
      <c r="K23" s="4">
        <v>4.0999999999999996</v>
      </c>
      <c r="L23" s="4">
        <v>4.5</v>
      </c>
      <c r="M23" s="4">
        <v>50</v>
      </c>
      <c r="N23" s="4">
        <v>45</v>
      </c>
      <c r="O23" s="4" t="s">
        <v>35</v>
      </c>
      <c r="P23" s="4">
        <v>7</v>
      </c>
      <c r="Q23" s="4">
        <v>7</v>
      </c>
      <c r="R23" s="4">
        <v>10</v>
      </c>
      <c r="S23" s="4">
        <v>7</v>
      </c>
      <c r="T23" s="4" t="s">
        <v>36</v>
      </c>
      <c r="U23" s="4">
        <v>5</v>
      </c>
      <c r="V23" s="4">
        <v>9</v>
      </c>
      <c r="W23" s="4">
        <v>22.5</v>
      </c>
      <c r="X23" s="4">
        <v>0</v>
      </c>
      <c r="Y23" s="4">
        <v>-0.4</v>
      </c>
      <c r="Z23" s="4">
        <v>4.7</v>
      </c>
      <c r="AA23" s="4" t="s">
        <v>37</v>
      </c>
      <c r="AB23" s="4" t="s">
        <v>38</v>
      </c>
    </row>
    <row r="24" spans="1:28" ht="15.75" customHeight="1">
      <c r="A24" s="4" t="s">
        <v>93</v>
      </c>
      <c r="B24" s="4" t="s">
        <v>29</v>
      </c>
      <c r="C24" s="4" t="s">
        <v>30</v>
      </c>
      <c r="D24" s="4" t="s">
        <v>31</v>
      </c>
      <c r="E24" s="4" t="s">
        <v>91</v>
      </c>
      <c r="F24" s="4" t="s">
        <v>94</v>
      </c>
      <c r="G24" s="4" t="s">
        <v>34</v>
      </c>
      <c r="H24" s="4" t="s">
        <v>45</v>
      </c>
      <c r="I24" s="4">
        <v>9</v>
      </c>
      <c r="J24" s="4">
        <v>6</v>
      </c>
      <c r="K24" s="4">
        <v>4.5</v>
      </c>
      <c r="L24" s="4">
        <v>4.5</v>
      </c>
      <c r="M24" s="4">
        <v>50</v>
      </c>
      <c r="N24" s="4">
        <v>45</v>
      </c>
      <c r="O24" s="4" t="s">
        <v>35</v>
      </c>
      <c r="P24" s="4">
        <v>6</v>
      </c>
      <c r="Q24" s="4">
        <v>7</v>
      </c>
      <c r="R24" s="4">
        <v>9</v>
      </c>
      <c r="S24" s="4">
        <v>9</v>
      </c>
      <c r="T24" s="4" t="s">
        <v>36</v>
      </c>
      <c r="U24" s="4">
        <v>6</v>
      </c>
      <c r="V24" s="4">
        <v>7</v>
      </c>
      <c r="W24" s="4">
        <v>22.5</v>
      </c>
      <c r="X24" s="4">
        <v>0</v>
      </c>
      <c r="Y24" s="4">
        <v>10.8</v>
      </c>
      <c r="Z24" s="4">
        <v>3.6</v>
      </c>
      <c r="AA24" s="4" t="s">
        <v>37</v>
      </c>
      <c r="AB24" s="4" t="s">
        <v>46</v>
      </c>
    </row>
    <row r="25" spans="1:28" ht="15.75" customHeight="1">
      <c r="A25" s="4" t="s">
        <v>95</v>
      </c>
      <c r="B25" s="4" t="s">
        <v>29</v>
      </c>
      <c r="C25" s="4" t="s">
        <v>30</v>
      </c>
      <c r="D25" s="4" t="s">
        <v>31</v>
      </c>
      <c r="E25" s="4" t="s">
        <v>91</v>
      </c>
      <c r="F25" s="4" t="s">
        <v>96</v>
      </c>
      <c r="G25" s="4" t="s">
        <v>34</v>
      </c>
      <c r="H25" s="4" t="s">
        <v>34</v>
      </c>
      <c r="I25" s="4">
        <v>7</v>
      </c>
      <c r="J25" s="4">
        <v>7</v>
      </c>
      <c r="K25" s="4">
        <v>4.4000000000000004</v>
      </c>
      <c r="L25" s="4">
        <v>4.5</v>
      </c>
      <c r="M25" s="4">
        <v>50</v>
      </c>
      <c r="N25" s="4">
        <v>45</v>
      </c>
      <c r="O25" s="4" t="s">
        <v>35</v>
      </c>
      <c r="P25" s="4">
        <v>8</v>
      </c>
      <c r="Q25" s="4">
        <v>10</v>
      </c>
      <c r="R25" s="4">
        <v>8</v>
      </c>
      <c r="S25" s="4">
        <v>7</v>
      </c>
      <c r="T25" s="4" t="s">
        <v>36</v>
      </c>
      <c r="U25" s="4">
        <v>4</v>
      </c>
      <c r="V25" s="4">
        <v>9</v>
      </c>
      <c r="W25" s="4">
        <v>22.5</v>
      </c>
      <c r="X25" s="4">
        <v>0</v>
      </c>
      <c r="Y25" s="4">
        <v>-0.1</v>
      </c>
      <c r="Z25" s="4">
        <v>3.5</v>
      </c>
      <c r="AA25" s="4" t="s">
        <v>37</v>
      </c>
      <c r="AB25" s="4" t="s">
        <v>38</v>
      </c>
    </row>
    <row r="26" spans="1:28" ht="15.75" customHeight="1">
      <c r="A26" s="4" t="s">
        <v>97</v>
      </c>
      <c r="B26" s="4" t="s">
        <v>29</v>
      </c>
      <c r="C26" s="4" t="s">
        <v>30</v>
      </c>
      <c r="D26" s="4" t="s">
        <v>31</v>
      </c>
      <c r="E26" s="4" t="s">
        <v>91</v>
      </c>
      <c r="F26" s="4" t="s">
        <v>98</v>
      </c>
      <c r="G26" s="4" t="s">
        <v>34</v>
      </c>
      <c r="H26" s="4" t="s">
        <v>34</v>
      </c>
      <c r="I26" s="4">
        <v>9</v>
      </c>
      <c r="J26" s="4">
        <v>9</v>
      </c>
      <c r="K26" s="4">
        <v>4.2</v>
      </c>
      <c r="L26" s="4">
        <v>4.5</v>
      </c>
      <c r="M26" s="4">
        <v>50</v>
      </c>
      <c r="N26" s="4">
        <v>45</v>
      </c>
      <c r="O26" s="4" t="s">
        <v>35</v>
      </c>
      <c r="P26" s="4">
        <v>8</v>
      </c>
      <c r="Q26" s="4">
        <v>8</v>
      </c>
      <c r="R26" s="4">
        <v>8</v>
      </c>
      <c r="S26" s="4">
        <v>7</v>
      </c>
      <c r="T26" s="4" t="s">
        <v>36</v>
      </c>
      <c r="U26" s="4">
        <v>5</v>
      </c>
      <c r="V26" s="4">
        <v>8</v>
      </c>
      <c r="W26" s="4">
        <v>22.5</v>
      </c>
      <c r="X26" s="4">
        <v>0</v>
      </c>
      <c r="Y26" s="4">
        <v>-0.3</v>
      </c>
      <c r="Z26" s="4">
        <v>4.5</v>
      </c>
      <c r="AA26" s="4" t="s">
        <v>37</v>
      </c>
      <c r="AB26" s="4" t="s">
        <v>38</v>
      </c>
    </row>
    <row r="27" spans="1:28" ht="15.75" customHeight="1">
      <c r="A27" s="4" t="s">
        <v>99</v>
      </c>
      <c r="B27" s="4" t="s">
        <v>29</v>
      </c>
      <c r="C27" s="4" t="s">
        <v>30</v>
      </c>
      <c r="D27" s="4" t="s">
        <v>31</v>
      </c>
      <c r="E27" s="4" t="s">
        <v>91</v>
      </c>
      <c r="F27" s="4" t="s">
        <v>100</v>
      </c>
      <c r="G27" s="4" t="s">
        <v>34</v>
      </c>
      <c r="H27" s="4" t="s">
        <v>34</v>
      </c>
      <c r="I27" s="4">
        <v>10</v>
      </c>
      <c r="J27" s="4">
        <v>8</v>
      </c>
      <c r="K27" s="4">
        <v>4.8</v>
      </c>
      <c r="L27" s="4">
        <v>4.5</v>
      </c>
      <c r="M27" s="4">
        <v>50</v>
      </c>
      <c r="N27" s="4">
        <v>45</v>
      </c>
      <c r="O27" s="4" t="s">
        <v>35</v>
      </c>
      <c r="P27" s="4">
        <v>8</v>
      </c>
      <c r="Q27" s="4">
        <v>7</v>
      </c>
      <c r="R27" s="4">
        <v>10</v>
      </c>
      <c r="S27" s="4">
        <v>9</v>
      </c>
      <c r="T27" s="4" t="s">
        <v>36</v>
      </c>
      <c r="U27" s="4">
        <v>4</v>
      </c>
      <c r="V27" s="4">
        <v>7</v>
      </c>
      <c r="W27" s="4">
        <v>22.5</v>
      </c>
      <c r="X27" s="4">
        <v>0</v>
      </c>
      <c r="Y27" s="4">
        <v>0.3</v>
      </c>
      <c r="Z27" s="4">
        <v>4.4000000000000004</v>
      </c>
      <c r="AA27" s="4" t="s">
        <v>37</v>
      </c>
      <c r="AB27" s="4" t="s">
        <v>38</v>
      </c>
    </row>
    <row r="28" spans="1:28" ht="15.75" customHeight="1">
      <c r="A28" s="4" t="s">
        <v>101</v>
      </c>
      <c r="B28" s="4" t="s">
        <v>29</v>
      </c>
      <c r="C28" s="4" t="s">
        <v>102</v>
      </c>
      <c r="D28" s="4" t="s">
        <v>103</v>
      </c>
      <c r="E28" s="4" t="s">
        <v>32</v>
      </c>
      <c r="F28" s="4" t="s">
        <v>33</v>
      </c>
      <c r="G28" s="4" t="s">
        <v>34</v>
      </c>
      <c r="H28" s="4" t="s">
        <v>34</v>
      </c>
      <c r="I28" s="4">
        <v>6</v>
      </c>
      <c r="J28" s="4">
        <v>5</v>
      </c>
      <c r="K28" s="4">
        <v>4.7</v>
      </c>
      <c r="L28" s="4">
        <v>4.2</v>
      </c>
      <c r="M28" s="4">
        <v>50</v>
      </c>
      <c r="N28" s="4">
        <v>120</v>
      </c>
      <c r="O28" s="4" t="s">
        <v>104</v>
      </c>
      <c r="P28" s="4">
        <v>7</v>
      </c>
      <c r="Q28" s="4">
        <v>9</v>
      </c>
      <c r="R28" s="4">
        <v>8</v>
      </c>
      <c r="S28" s="4">
        <v>8</v>
      </c>
      <c r="T28" s="4" t="s">
        <v>36</v>
      </c>
      <c r="U28" s="4">
        <v>5</v>
      </c>
      <c r="V28" s="4">
        <v>8</v>
      </c>
      <c r="W28" s="4">
        <v>18</v>
      </c>
      <c r="X28" s="4">
        <v>0</v>
      </c>
      <c r="Y28" s="4">
        <v>0.5</v>
      </c>
      <c r="Z28" s="4">
        <v>2.7</v>
      </c>
      <c r="AA28" s="4" t="s">
        <v>37</v>
      </c>
      <c r="AB28" s="4" t="s">
        <v>38</v>
      </c>
    </row>
    <row r="29" spans="1:28" ht="15.75" customHeight="1">
      <c r="A29" s="4" t="s">
        <v>105</v>
      </c>
      <c r="B29" s="4" t="s">
        <v>29</v>
      </c>
      <c r="C29" s="4" t="s">
        <v>102</v>
      </c>
      <c r="D29" s="4" t="s">
        <v>103</v>
      </c>
      <c r="E29" s="4" t="s">
        <v>32</v>
      </c>
      <c r="F29" s="4" t="s">
        <v>40</v>
      </c>
      <c r="G29" s="4" t="s">
        <v>41</v>
      </c>
      <c r="H29" s="4" t="s">
        <v>41</v>
      </c>
      <c r="I29" s="4">
        <v>6</v>
      </c>
      <c r="J29" s="4">
        <v>5</v>
      </c>
      <c r="K29" s="4">
        <v>4.0999999999999996</v>
      </c>
      <c r="L29" s="4">
        <v>4.2</v>
      </c>
      <c r="M29" s="4">
        <v>50</v>
      </c>
      <c r="N29" s="4">
        <v>120</v>
      </c>
      <c r="O29" s="4" t="s">
        <v>104</v>
      </c>
      <c r="P29" s="4">
        <v>9</v>
      </c>
      <c r="Q29" s="4">
        <v>9</v>
      </c>
      <c r="R29" s="4">
        <v>6</v>
      </c>
      <c r="S29" s="4">
        <v>7</v>
      </c>
      <c r="T29" s="4" t="s">
        <v>49</v>
      </c>
      <c r="U29" s="4">
        <v>5</v>
      </c>
      <c r="V29" s="4">
        <v>8</v>
      </c>
      <c r="W29" s="4">
        <v>18</v>
      </c>
      <c r="X29" s="4">
        <v>0</v>
      </c>
      <c r="Y29" s="4">
        <v>-0.1</v>
      </c>
      <c r="Z29" s="4">
        <v>5.4</v>
      </c>
      <c r="AA29" s="4" t="s">
        <v>61</v>
      </c>
      <c r="AB29" s="4" t="s">
        <v>38</v>
      </c>
    </row>
    <row r="30" spans="1:28" ht="15.75" customHeight="1">
      <c r="A30" s="4" t="s">
        <v>106</v>
      </c>
      <c r="B30" s="4" t="s">
        <v>29</v>
      </c>
      <c r="C30" s="4" t="s">
        <v>102</v>
      </c>
      <c r="D30" s="4" t="s">
        <v>103</v>
      </c>
      <c r="E30" s="4" t="s">
        <v>32</v>
      </c>
      <c r="F30" s="4" t="s">
        <v>44</v>
      </c>
      <c r="G30" s="4" t="s">
        <v>34</v>
      </c>
      <c r="H30" s="4" t="s">
        <v>45</v>
      </c>
      <c r="I30" s="4">
        <v>8</v>
      </c>
      <c r="J30" s="4">
        <v>8</v>
      </c>
      <c r="K30" s="4">
        <v>4.5</v>
      </c>
      <c r="L30" s="4">
        <v>4.2</v>
      </c>
      <c r="M30" s="4">
        <v>50</v>
      </c>
      <c r="N30" s="4">
        <v>120</v>
      </c>
      <c r="O30" s="4" t="s">
        <v>104</v>
      </c>
      <c r="P30" s="4">
        <v>9</v>
      </c>
      <c r="Q30" s="4">
        <v>7</v>
      </c>
      <c r="R30" s="4">
        <v>6</v>
      </c>
      <c r="S30" s="4">
        <v>7</v>
      </c>
      <c r="T30" s="4" t="s">
        <v>36</v>
      </c>
      <c r="U30" s="4">
        <v>5</v>
      </c>
      <c r="V30" s="4">
        <v>6</v>
      </c>
      <c r="W30" s="4">
        <v>18</v>
      </c>
      <c r="X30" s="4">
        <v>0</v>
      </c>
      <c r="Y30" s="4">
        <v>9.9</v>
      </c>
      <c r="Z30" s="4">
        <v>4</v>
      </c>
      <c r="AA30" s="4" t="s">
        <v>37</v>
      </c>
      <c r="AB30" s="4" t="s">
        <v>46</v>
      </c>
    </row>
    <row r="31" spans="1:28" ht="15.75" customHeight="1">
      <c r="A31" s="4" t="s">
        <v>107</v>
      </c>
      <c r="B31" s="4" t="s">
        <v>29</v>
      </c>
      <c r="C31" s="4" t="s">
        <v>102</v>
      </c>
      <c r="D31" s="4" t="s">
        <v>103</v>
      </c>
      <c r="E31" s="4" t="s">
        <v>32</v>
      </c>
      <c r="F31" s="4" t="s">
        <v>48</v>
      </c>
      <c r="G31" s="4" t="s">
        <v>34</v>
      </c>
      <c r="H31" s="4" t="s">
        <v>45</v>
      </c>
      <c r="I31" s="4">
        <v>7</v>
      </c>
      <c r="J31" s="4">
        <v>9</v>
      </c>
      <c r="K31" s="4">
        <v>4.0999999999999996</v>
      </c>
      <c r="L31" s="4">
        <v>4.2</v>
      </c>
      <c r="M31" s="4">
        <v>50</v>
      </c>
      <c r="N31" s="4">
        <v>120</v>
      </c>
      <c r="O31" s="4" t="s">
        <v>104</v>
      </c>
      <c r="P31" s="4">
        <v>7</v>
      </c>
      <c r="Q31" s="4">
        <v>7</v>
      </c>
      <c r="R31" s="4">
        <v>8</v>
      </c>
      <c r="S31" s="4">
        <v>9</v>
      </c>
      <c r="T31" s="4" t="s">
        <v>36</v>
      </c>
      <c r="U31" s="4">
        <v>4</v>
      </c>
      <c r="V31" s="4">
        <v>8</v>
      </c>
      <c r="W31" s="4">
        <v>18</v>
      </c>
      <c r="X31" s="4">
        <v>0</v>
      </c>
      <c r="Y31" s="4">
        <v>8.3000000000000007</v>
      </c>
      <c r="Z31" s="4">
        <v>4.0999999999999996</v>
      </c>
      <c r="AA31" s="4" t="s">
        <v>37</v>
      </c>
      <c r="AB31" s="4" t="s">
        <v>46</v>
      </c>
    </row>
    <row r="32" spans="1:28" ht="15.75" customHeight="1">
      <c r="A32" s="4" t="s">
        <v>108</v>
      </c>
      <c r="B32" s="4" t="s">
        <v>29</v>
      </c>
      <c r="C32" s="4" t="s">
        <v>102</v>
      </c>
      <c r="D32" s="4" t="s">
        <v>103</v>
      </c>
      <c r="E32" s="4" t="s">
        <v>32</v>
      </c>
      <c r="F32" s="4" t="s">
        <v>51</v>
      </c>
      <c r="G32" s="4" t="s">
        <v>34</v>
      </c>
      <c r="H32" s="4" t="s">
        <v>45</v>
      </c>
      <c r="I32" s="4">
        <v>7</v>
      </c>
      <c r="J32" s="4">
        <v>6</v>
      </c>
      <c r="K32" s="4">
        <v>4.5999999999999996</v>
      </c>
      <c r="L32" s="4">
        <v>4.2</v>
      </c>
      <c r="M32" s="4">
        <v>50</v>
      </c>
      <c r="N32" s="4">
        <v>120</v>
      </c>
      <c r="O32" s="4" t="s">
        <v>104</v>
      </c>
      <c r="P32" s="4">
        <v>8</v>
      </c>
      <c r="Q32" s="4">
        <v>10</v>
      </c>
      <c r="R32" s="4">
        <v>10</v>
      </c>
      <c r="S32" s="4">
        <v>8</v>
      </c>
      <c r="T32" s="4" t="s">
        <v>36</v>
      </c>
      <c r="U32" s="4">
        <v>5</v>
      </c>
      <c r="V32" s="4">
        <v>7</v>
      </c>
      <c r="W32" s="4">
        <v>18</v>
      </c>
      <c r="X32" s="4">
        <v>0</v>
      </c>
      <c r="Y32" s="4">
        <v>8.8000000000000007</v>
      </c>
      <c r="Z32" s="4">
        <v>3.2</v>
      </c>
      <c r="AA32" s="4" t="s">
        <v>37</v>
      </c>
      <c r="AB32" s="4" t="s">
        <v>46</v>
      </c>
    </row>
    <row r="33" spans="1:28" ht="15.75" customHeight="1">
      <c r="A33" s="4" t="s">
        <v>109</v>
      </c>
      <c r="B33" s="4" t="s">
        <v>29</v>
      </c>
      <c r="C33" s="4" t="s">
        <v>102</v>
      </c>
      <c r="D33" s="4" t="s">
        <v>103</v>
      </c>
      <c r="E33" s="4" t="s">
        <v>32</v>
      </c>
      <c r="F33" s="4" t="s">
        <v>53</v>
      </c>
      <c r="G33" s="4" t="s">
        <v>34</v>
      </c>
      <c r="H33" s="4" t="s">
        <v>41</v>
      </c>
      <c r="I33" s="4">
        <v>7</v>
      </c>
      <c r="J33" s="4">
        <v>5</v>
      </c>
      <c r="K33" s="4">
        <v>4.2</v>
      </c>
      <c r="L33" s="4">
        <v>4.2</v>
      </c>
      <c r="M33" s="4">
        <v>50</v>
      </c>
      <c r="N33" s="4">
        <v>120</v>
      </c>
      <c r="O33" s="4" t="s">
        <v>104</v>
      </c>
      <c r="P33" s="4">
        <v>8</v>
      </c>
      <c r="Q33" s="4">
        <v>10</v>
      </c>
      <c r="R33" s="4">
        <v>7</v>
      </c>
      <c r="S33" s="4">
        <v>9</v>
      </c>
      <c r="T33" s="4" t="s">
        <v>49</v>
      </c>
      <c r="U33" s="4">
        <v>4</v>
      </c>
      <c r="V33" s="4">
        <v>9</v>
      </c>
      <c r="W33" s="4">
        <v>18</v>
      </c>
      <c r="X33" s="4">
        <v>0</v>
      </c>
      <c r="Y33" s="4">
        <v>4.2</v>
      </c>
      <c r="Z33" s="4">
        <v>2.9</v>
      </c>
      <c r="AA33" s="4" t="s">
        <v>37</v>
      </c>
      <c r="AB33" s="4" t="s">
        <v>42</v>
      </c>
    </row>
    <row r="34" spans="1:28" ht="15.75" customHeight="1">
      <c r="A34" s="4" t="s">
        <v>110</v>
      </c>
      <c r="B34" s="4" t="s">
        <v>29</v>
      </c>
      <c r="C34" s="4" t="s">
        <v>102</v>
      </c>
      <c r="D34" s="4" t="s">
        <v>103</v>
      </c>
      <c r="E34" s="4" t="s">
        <v>55</v>
      </c>
      <c r="F34" s="4" t="s">
        <v>56</v>
      </c>
      <c r="G34" s="4" t="s">
        <v>34</v>
      </c>
      <c r="H34" s="4" t="s">
        <v>41</v>
      </c>
      <c r="I34" s="4">
        <v>6</v>
      </c>
      <c r="J34" s="4">
        <v>6</v>
      </c>
      <c r="K34" s="4">
        <v>4.2</v>
      </c>
      <c r="L34" s="4">
        <v>4.2</v>
      </c>
      <c r="M34" s="4">
        <v>50</v>
      </c>
      <c r="N34" s="4">
        <v>120</v>
      </c>
      <c r="O34" s="4" t="s">
        <v>104</v>
      </c>
      <c r="P34" s="4">
        <v>9</v>
      </c>
      <c r="Q34" s="4">
        <v>9</v>
      </c>
      <c r="R34" s="4">
        <v>8</v>
      </c>
      <c r="S34" s="4">
        <v>8</v>
      </c>
      <c r="T34" s="4" t="s">
        <v>49</v>
      </c>
      <c r="U34" s="4">
        <v>8</v>
      </c>
      <c r="V34" s="4">
        <v>9</v>
      </c>
      <c r="W34" s="4">
        <v>18</v>
      </c>
      <c r="X34" s="4">
        <v>0</v>
      </c>
      <c r="Y34" s="4">
        <v>3.6</v>
      </c>
      <c r="Z34" s="4">
        <v>3</v>
      </c>
      <c r="AA34" s="4" t="s">
        <v>37</v>
      </c>
      <c r="AB34" s="4" t="s">
        <v>42</v>
      </c>
    </row>
    <row r="35" spans="1:28" ht="15.75" customHeight="1">
      <c r="A35" s="4" t="s">
        <v>111</v>
      </c>
      <c r="B35" s="4" t="s">
        <v>29</v>
      </c>
      <c r="C35" s="4" t="s">
        <v>102</v>
      </c>
      <c r="D35" s="4" t="s">
        <v>103</v>
      </c>
      <c r="E35" s="4" t="s">
        <v>55</v>
      </c>
      <c r="F35" s="4" t="s">
        <v>58</v>
      </c>
      <c r="G35" s="4" t="s">
        <v>34</v>
      </c>
      <c r="H35" s="4" t="s">
        <v>41</v>
      </c>
      <c r="I35" s="4">
        <v>10</v>
      </c>
      <c r="J35" s="4">
        <v>5</v>
      </c>
      <c r="K35" s="4">
        <v>4.9000000000000004</v>
      </c>
      <c r="L35" s="4">
        <v>4.2</v>
      </c>
      <c r="M35" s="4">
        <v>50</v>
      </c>
      <c r="N35" s="4">
        <v>120</v>
      </c>
      <c r="O35" s="4" t="s">
        <v>104</v>
      </c>
      <c r="P35" s="4">
        <v>8</v>
      </c>
      <c r="Q35" s="4">
        <v>9</v>
      </c>
      <c r="R35" s="4">
        <v>10</v>
      </c>
      <c r="S35" s="4">
        <v>10</v>
      </c>
      <c r="T35" s="4" t="s">
        <v>36</v>
      </c>
      <c r="U35" s="4">
        <v>9</v>
      </c>
      <c r="V35" s="4">
        <v>6</v>
      </c>
      <c r="W35" s="4">
        <v>18</v>
      </c>
      <c r="X35" s="4">
        <v>0</v>
      </c>
      <c r="Y35" s="4">
        <v>6.7</v>
      </c>
      <c r="Z35" s="4">
        <v>3.5</v>
      </c>
      <c r="AA35" s="4" t="s">
        <v>37</v>
      </c>
      <c r="AB35" s="4" t="s">
        <v>42</v>
      </c>
    </row>
    <row r="36" spans="1:28" ht="15.75" customHeight="1">
      <c r="A36" s="4" t="s">
        <v>112</v>
      </c>
      <c r="B36" s="4" t="s">
        <v>29</v>
      </c>
      <c r="C36" s="4" t="s">
        <v>102</v>
      </c>
      <c r="D36" s="4" t="s">
        <v>103</v>
      </c>
      <c r="E36" s="4" t="s">
        <v>55</v>
      </c>
      <c r="F36" s="4" t="s">
        <v>60</v>
      </c>
      <c r="G36" s="4" t="s">
        <v>34</v>
      </c>
      <c r="H36" s="4" t="s">
        <v>41</v>
      </c>
      <c r="I36" s="4">
        <v>6</v>
      </c>
      <c r="J36" s="4">
        <v>6</v>
      </c>
      <c r="K36" s="4">
        <v>4.5</v>
      </c>
      <c r="L36" s="4">
        <v>4.2</v>
      </c>
      <c r="M36" s="4">
        <v>50</v>
      </c>
      <c r="N36" s="4">
        <v>120</v>
      </c>
      <c r="O36" s="4" t="s">
        <v>104</v>
      </c>
      <c r="P36" s="4">
        <v>8</v>
      </c>
      <c r="Q36" s="4">
        <v>7</v>
      </c>
      <c r="R36" s="4">
        <v>6</v>
      </c>
      <c r="S36" s="4">
        <v>10</v>
      </c>
      <c r="T36" s="4" t="s">
        <v>49</v>
      </c>
      <c r="U36" s="4">
        <v>9</v>
      </c>
      <c r="V36" s="4">
        <v>9</v>
      </c>
      <c r="W36" s="4">
        <v>18</v>
      </c>
      <c r="X36" s="4">
        <v>0</v>
      </c>
      <c r="Y36" s="4">
        <v>3.9</v>
      </c>
      <c r="Z36" s="4">
        <v>3</v>
      </c>
      <c r="AA36" s="4" t="s">
        <v>37</v>
      </c>
      <c r="AB36" s="4" t="s">
        <v>42</v>
      </c>
    </row>
    <row r="37" spans="1:28" ht="15.75" customHeight="1">
      <c r="A37" s="4" t="s">
        <v>113</v>
      </c>
      <c r="B37" s="4" t="s">
        <v>29</v>
      </c>
      <c r="C37" s="4" t="s">
        <v>102</v>
      </c>
      <c r="D37" s="4" t="s">
        <v>103</v>
      </c>
      <c r="E37" s="4" t="s">
        <v>55</v>
      </c>
      <c r="F37" s="4" t="s">
        <v>63</v>
      </c>
      <c r="G37" s="4" t="s">
        <v>34</v>
      </c>
      <c r="H37" s="4" t="s">
        <v>41</v>
      </c>
      <c r="I37" s="4">
        <v>10</v>
      </c>
      <c r="J37" s="4">
        <v>9</v>
      </c>
      <c r="K37" s="4">
        <v>4.2</v>
      </c>
      <c r="L37" s="4">
        <v>4.2</v>
      </c>
      <c r="M37" s="4">
        <v>50</v>
      </c>
      <c r="N37" s="4">
        <v>120</v>
      </c>
      <c r="O37" s="4" t="s">
        <v>104</v>
      </c>
      <c r="P37" s="4">
        <v>6</v>
      </c>
      <c r="Q37" s="4">
        <v>10</v>
      </c>
      <c r="R37" s="4">
        <v>6</v>
      </c>
      <c r="S37" s="4">
        <v>8</v>
      </c>
      <c r="T37" s="4" t="s">
        <v>49</v>
      </c>
      <c r="U37" s="4">
        <v>7</v>
      </c>
      <c r="V37" s="4">
        <v>8</v>
      </c>
      <c r="W37" s="4">
        <v>18</v>
      </c>
      <c r="X37" s="4">
        <v>0</v>
      </c>
      <c r="Y37" s="4">
        <v>6</v>
      </c>
      <c r="Z37" s="4">
        <v>4.7</v>
      </c>
      <c r="AA37" s="4" t="s">
        <v>37</v>
      </c>
      <c r="AB37" s="4" t="s">
        <v>42</v>
      </c>
    </row>
    <row r="38" spans="1:28" ht="15.75" customHeight="1">
      <c r="A38" s="4" t="s">
        <v>114</v>
      </c>
      <c r="B38" s="4" t="s">
        <v>29</v>
      </c>
      <c r="C38" s="4" t="s">
        <v>102</v>
      </c>
      <c r="D38" s="4" t="s">
        <v>103</v>
      </c>
      <c r="E38" s="4" t="s">
        <v>55</v>
      </c>
      <c r="F38" s="4" t="s">
        <v>65</v>
      </c>
      <c r="G38" s="4" t="s">
        <v>34</v>
      </c>
      <c r="H38" s="4" t="s">
        <v>45</v>
      </c>
      <c r="I38" s="4">
        <v>9</v>
      </c>
      <c r="J38" s="4">
        <v>5</v>
      </c>
      <c r="K38" s="4">
        <v>4.5999999999999996</v>
      </c>
      <c r="L38" s="4">
        <v>4.2</v>
      </c>
      <c r="M38" s="4">
        <v>50</v>
      </c>
      <c r="N38" s="4">
        <v>120</v>
      </c>
      <c r="O38" s="4" t="s">
        <v>104</v>
      </c>
      <c r="P38" s="4">
        <v>8</v>
      </c>
      <c r="Q38" s="4">
        <v>9</v>
      </c>
      <c r="R38" s="4">
        <v>9</v>
      </c>
      <c r="S38" s="4">
        <v>9</v>
      </c>
      <c r="T38" s="4" t="s">
        <v>36</v>
      </c>
      <c r="U38" s="4">
        <v>9</v>
      </c>
      <c r="V38" s="4">
        <v>7</v>
      </c>
      <c r="W38" s="4">
        <v>18</v>
      </c>
      <c r="X38" s="4">
        <v>0</v>
      </c>
      <c r="Y38" s="4">
        <v>11.2</v>
      </c>
      <c r="Z38" s="4">
        <v>3.3</v>
      </c>
      <c r="AA38" s="4" t="s">
        <v>37</v>
      </c>
      <c r="AB38" s="4" t="s">
        <v>46</v>
      </c>
    </row>
    <row r="39" spans="1:28" ht="15.75" customHeight="1">
      <c r="A39" s="4" t="s">
        <v>115</v>
      </c>
      <c r="B39" s="4" t="s">
        <v>29</v>
      </c>
      <c r="C39" s="4" t="s">
        <v>102</v>
      </c>
      <c r="D39" s="4" t="s">
        <v>103</v>
      </c>
      <c r="E39" s="4" t="s">
        <v>67</v>
      </c>
      <c r="F39" s="4" t="s">
        <v>68</v>
      </c>
      <c r="G39" s="4" t="s">
        <v>34</v>
      </c>
      <c r="H39" s="4" t="s">
        <v>41</v>
      </c>
      <c r="I39" s="4">
        <v>6</v>
      </c>
      <c r="J39" s="4">
        <v>10</v>
      </c>
      <c r="K39" s="4">
        <v>4.8</v>
      </c>
      <c r="L39" s="4">
        <v>4.2</v>
      </c>
      <c r="M39" s="4">
        <v>50</v>
      </c>
      <c r="N39" s="4">
        <v>120</v>
      </c>
      <c r="O39" s="4" t="s">
        <v>104</v>
      </c>
      <c r="P39" s="4">
        <v>7</v>
      </c>
      <c r="Q39" s="4">
        <v>9</v>
      </c>
      <c r="R39" s="4">
        <v>9</v>
      </c>
      <c r="S39" s="4">
        <v>7</v>
      </c>
      <c r="T39" s="4" t="s">
        <v>49</v>
      </c>
      <c r="U39" s="4">
        <v>5</v>
      </c>
      <c r="V39" s="4">
        <v>9</v>
      </c>
      <c r="W39" s="4">
        <v>18</v>
      </c>
      <c r="X39" s="4">
        <v>0</v>
      </c>
      <c r="Y39" s="4">
        <v>4.2</v>
      </c>
      <c r="Z39" s="4">
        <v>4.2</v>
      </c>
      <c r="AA39" s="4" t="s">
        <v>37</v>
      </c>
      <c r="AB39" s="4" t="s">
        <v>42</v>
      </c>
    </row>
    <row r="40" spans="1:28" ht="15.75" customHeight="1">
      <c r="A40" s="4" t="s">
        <v>116</v>
      </c>
      <c r="B40" s="4" t="s">
        <v>29</v>
      </c>
      <c r="C40" s="4" t="s">
        <v>102</v>
      </c>
      <c r="D40" s="4" t="s">
        <v>103</v>
      </c>
      <c r="E40" s="4" t="s">
        <v>67</v>
      </c>
      <c r="F40" s="4" t="s">
        <v>70</v>
      </c>
      <c r="G40" s="4" t="s">
        <v>34</v>
      </c>
      <c r="H40" s="4" t="s">
        <v>41</v>
      </c>
      <c r="I40" s="4">
        <v>6</v>
      </c>
      <c r="J40" s="4">
        <v>8</v>
      </c>
      <c r="K40" s="4">
        <v>4.4000000000000004</v>
      </c>
      <c r="L40" s="4">
        <v>4.2</v>
      </c>
      <c r="M40" s="4">
        <v>50</v>
      </c>
      <c r="N40" s="4">
        <v>120</v>
      </c>
      <c r="O40" s="4" t="s">
        <v>104</v>
      </c>
      <c r="P40" s="4">
        <v>7</v>
      </c>
      <c r="Q40" s="4">
        <v>10</v>
      </c>
      <c r="R40" s="4">
        <v>7</v>
      </c>
      <c r="S40" s="4">
        <v>7</v>
      </c>
      <c r="T40" s="4" t="s">
        <v>49</v>
      </c>
      <c r="U40" s="4">
        <v>8</v>
      </c>
      <c r="V40" s="4">
        <v>8</v>
      </c>
      <c r="W40" s="4">
        <v>18</v>
      </c>
      <c r="X40" s="4">
        <v>0</v>
      </c>
      <c r="Y40" s="4">
        <v>3.8</v>
      </c>
      <c r="Z40" s="4">
        <v>3.6</v>
      </c>
      <c r="AA40" s="4" t="s">
        <v>37</v>
      </c>
      <c r="AB40" s="4" t="s">
        <v>42</v>
      </c>
    </row>
    <row r="41" spans="1:28" ht="15.75" customHeight="1">
      <c r="A41" s="4" t="s">
        <v>117</v>
      </c>
      <c r="B41" s="4" t="s">
        <v>29</v>
      </c>
      <c r="C41" s="4" t="s">
        <v>102</v>
      </c>
      <c r="D41" s="4" t="s">
        <v>103</v>
      </c>
      <c r="E41" s="4" t="s">
        <v>67</v>
      </c>
      <c r="F41" s="4" t="s">
        <v>72</v>
      </c>
      <c r="G41" s="4" t="s">
        <v>34</v>
      </c>
      <c r="H41" s="4" t="s">
        <v>34</v>
      </c>
      <c r="I41" s="4">
        <v>6</v>
      </c>
      <c r="J41" s="4">
        <v>10</v>
      </c>
      <c r="K41" s="4">
        <v>4.3</v>
      </c>
      <c r="L41" s="4">
        <v>4.2</v>
      </c>
      <c r="M41" s="4">
        <v>50</v>
      </c>
      <c r="N41" s="4">
        <v>120</v>
      </c>
      <c r="O41" s="4" t="s">
        <v>104</v>
      </c>
      <c r="P41" s="4">
        <v>7</v>
      </c>
      <c r="Q41" s="4">
        <v>8</v>
      </c>
      <c r="R41" s="4">
        <v>6</v>
      </c>
      <c r="S41" s="4">
        <v>7</v>
      </c>
      <c r="T41" s="4" t="s">
        <v>49</v>
      </c>
      <c r="U41" s="4">
        <v>7</v>
      </c>
      <c r="V41" s="4">
        <v>6</v>
      </c>
      <c r="W41" s="4">
        <v>18</v>
      </c>
      <c r="X41" s="4">
        <v>0</v>
      </c>
      <c r="Y41" s="4">
        <v>0.1</v>
      </c>
      <c r="Z41" s="4">
        <v>4.2</v>
      </c>
      <c r="AA41" s="4" t="s">
        <v>37</v>
      </c>
      <c r="AB41" s="4" t="s">
        <v>38</v>
      </c>
    </row>
    <row r="42" spans="1:28" ht="15.75" customHeight="1">
      <c r="A42" s="4" t="s">
        <v>118</v>
      </c>
      <c r="B42" s="4" t="s">
        <v>29</v>
      </c>
      <c r="C42" s="4" t="s">
        <v>102</v>
      </c>
      <c r="D42" s="4" t="s">
        <v>103</v>
      </c>
      <c r="E42" s="4" t="s">
        <v>67</v>
      </c>
      <c r="F42" s="4" t="s">
        <v>74</v>
      </c>
      <c r="G42" s="4" t="s">
        <v>41</v>
      </c>
      <c r="H42" s="4" t="s">
        <v>41</v>
      </c>
      <c r="I42" s="4">
        <v>7</v>
      </c>
      <c r="J42" s="4">
        <v>10</v>
      </c>
      <c r="K42" s="4">
        <v>4.5</v>
      </c>
      <c r="L42" s="4">
        <v>4.2</v>
      </c>
      <c r="M42" s="4">
        <v>50</v>
      </c>
      <c r="N42" s="4">
        <v>120</v>
      </c>
      <c r="O42" s="4" t="s">
        <v>104</v>
      </c>
      <c r="P42" s="4">
        <v>9</v>
      </c>
      <c r="Q42" s="4">
        <v>10</v>
      </c>
      <c r="R42" s="4">
        <v>9</v>
      </c>
      <c r="S42" s="4">
        <v>8</v>
      </c>
      <c r="T42" s="4" t="s">
        <v>49</v>
      </c>
      <c r="U42" s="4">
        <v>4</v>
      </c>
      <c r="V42" s="4">
        <v>6</v>
      </c>
      <c r="W42" s="4">
        <v>18</v>
      </c>
      <c r="X42" s="4">
        <v>0</v>
      </c>
      <c r="Y42" s="4">
        <v>0.3</v>
      </c>
      <c r="Z42" s="4">
        <v>8.8000000000000007</v>
      </c>
      <c r="AA42" s="4" t="s">
        <v>86</v>
      </c>
      <c r="AB42" s="4" t="s">
        <v>38</v>
      </c>
    </row>
    <row r="43" spans="1:28" ht="15.75" customHeight="1">
      <c r="A43" s="4" t="s">
        <v>119</v>
      </c>
      <c r="B43" s="4" t="s">
        <v>29</v>
      </c>
      <c r="C43" s="4" t="s">
        <v>102</v>
      </c>
      <c r="D43" s="4" t="s">
        <v>103</v>
      </c>
      <c r="E43" s="4" t="s">
        <v>67</v>
      </c>
      <c r="F43" s="4" t="s">
        <v>76</v>
      </c>
      <c r="G43" s="4" t="s">
        <v>41</v>
      </c>
      <c r="H43" s="4" t="s">
        <v>34</v>
      </c>
      <c r="I43" s="4">
        <v>7</v>
      </c>
      <c r="J43" s="4">
        <v>6</v>
      </c>
      <c r="K43" s="4">
        <v>4.7</v>
      </c>
      <c r="L43" s="4">
        <v>4.2</v>
      </c>
      <c r="M43" s="4">
        <v>50</v>
      </c>
      <c r="N43" s="4">
        <v>120</v>
      </c>
      <c r="O43" s="4" t="s">
        <v>104</v>
      </c>
      <c r="P43" s="4">
        <v>10</v>
      </c>
      <c r="Q43" s="4">
        <v>10</v>
      </c>
      <c r="R43" s="4">
        <v>6</v>
      </c>
      <c r="S43" s="4">
        <v>8</v>
      </c>
      <c r="T43" s="4" t="s">
        <v>36</v>
      </c>
      <c r="U43" s="4">
        <v>4</v>
      </c>
      <c r="V43" s="4">
        <v>9</v>
      </c>
      <c r="W43" s="4">
        <v>18</v>
      </c>
      <c r="X43" s="4">
        <v>5.25</v>
      </c>
      <c r="Y43" s="4">
        <v>-3.7</v>
      </c>
      <c r="Z43" s="4">
        <v>6.4</v>
      </c>
      <c r="AA43" s="4" t="s">
        <v>86</v>
      </c>
      <c r="AB43" s="4" t="s">
        <v>87</v>
      </c>
    </row>
    <row r="44" spans="1:28" ht="15.75" customHeight="1">
      <c r="A44" s="4" t="s">
        <v>120</v>
      </c>
      <c r="B44" s="4" t="s">
        <v>29</v>
      </c>
      <c r="C44" s="4" t="s">
        <v>102</v>
      </c>
      <c r="D44" s="4" t="s">
        <v>103</v>
      </c>
      <c r="E44" s="4" t="s">
        <v>78</v>
      </c>
      <c r="F44" s="4" t="s">
        <v>79</v>
      </c>
      <c r="G44" s="4" t="s">
        <v>34</v>
      </c>
      <c r="H44" s="4" t="s">
        <v>41</v>
      </c>
      <c r="I44" s="4">
        <v>10</v>
      </c>
      <c r="J44" s="4">
        <v>10</v>
      </c>
      <c r="K44" s="4">
        <v>4.5</v>
      </c>
      <c r="L44" s="4">
        <v>4.2</v>
      </c>
      <c r="M44" s="4">
        <v>50</v>
      </c>
      <c r="N44" s="4">
        <v>120</v>
      </c>
      <c r="O44" s="4" t="s">
        <v>104</v>
      </c>
      <c r="P44" s="4">
        <v>10</v>
      </c>
      <c r="Q44" s="4">
        <v>9</v>
      </c>
      <c r="R44" s="4">
        <v>9</v>
      </c>
      <c r="S44" s="4">
        <v>10</v>
      </c>
      <c r="T44" s="4" t="s">
        <v>36</v>
      </c>
      <c r="U44" s="4">
        <v>8</v>
      </c>
      <c r="V44" s="4">
        <v>9</v>
      </c>
      <c r="W44" s="4">
        <v>18</v>
      </c>
      <c r="X44" s="4">
        <v>0</v>
      </c>
      <c r="Y44" s="4">
        <v>6.3</v>
      </c>
      <c r="Z44" s="4">
        <v>5</v>
      </c>
      <c r="AA44" s="4" t="s">
        <v>61</v>
      </c>
      <c r="AB44" s="4" t="s">
        <v>42</v>
      </c>
    </row>
    <row r="45" spans="1:28" ht="15.75" customHeight="1">
      <c r="A45" s="4" t="s">
        <v>121</v>
      </c>
      <c r="B45" s="4" t="s">
        <v>29</v>
      </c>
      <c r="C45" s="4" t="s">
        <v>102</v>
      </c>
      <c r="D45" s="4" t="s">
        <v>103</v>
      </c>
      <c r="E45" s="4" t="s">
        <v>78</v>
      </c>
      <c r="F45" s="4" t="s">
        <v>81</v>
      </c>
      <c r="G45" s="4" t="s">
        <v>34</v>
      </c>
      <c r="H45" s="4" t="s">
        <v>45</v>
      </c>
      <c r="I45" s="4">
        <v>10</v>
      </c>
      <c r="J45" s="4">
        <v>8</v>
      </c>
      <c r="K45" s="4">
        <v>4.4000000000000004</v>
      </c>
      <c r="L45" s="4">
        <v>4.2</v>
      </c>
      <c r="M45" s="4">
        <v>50</v>
      </c>
      <c r="N45" s="4">
        <v>120</v>
      </c>
      <c r="O45" s="4" t="s">
        <v>104</v>
      </c>
      <c r="P45" s="4">
        <v>7</v>
      </c>
      <c r="Q45" s="4">
        <v>9</v>
      </c>
      <c r="R45" s="4">
        <v>10</v>
      </c>
      <c r="S45" s="4">
        <v>10</v>
      </c>
      <c r="T45" s="4" t="s">
        <v>36</v>
      </c>
      <c r="U45" s="4">
        <v>6</v>
      </c>
      <c r="V45" s="4">
        <v>9</v>
      </c>
      <c r="W45" s="4">
        <v>18</v>
      </c>
      <c r="X45" s="4">
        <v>0</v>
      </c>
      <c r="Y45" s="4">
        <v>12.2</v>
      </c>
      <c r="Z45" s="4">
        <v>4.4000000000000004</v>
      </c>
      <c r="AA45" s="4" t="s">
        <v>37</v>
      </c>
      <c r="AB45" s="4" t="s">
        <v>46</v>
      </c>
    </row>
    <row r="46" spans="1:28" ht="15.75" customHeight="1">
      <c r="A46" s="4" t="s">
        <v>122</v>
      </c>
      <c r="B46" s="4" t="s">
        <v>29</v>
      </c>
      <c r="C46" s="4" t="s">
        <v>102</v>
      </c>
      <c r="D46" s="4" t="s">
        <v>103</v>
      </c>
      <c r="E46" s="4" t="s">
        <v>78</v>
      </c>
      <c r="F46" s="4" t="s">
        <v>83</v>
      </c>
      <c r="G46" s="4" t="s">
        <v>34</v>
      </c>
      <c r="H46" s="4" t="s">
        <v>45</v>
      </c>
      <c r="I46" s="4">
        <v>6</v>
      </c>
      <c r="J46" s="4">
        <v>7</v>
      </c>
      <c r="K46" s="4">
        <v>4.2</v>
      </c>
      <c r="L46" s="4">
        <v>4.2</v>
      </c>
      <c r="M46" s="4">
        <v>50</v>
      </c>
      <c r="N46" s="4">
        <v>120</v>
      </c>
      <c r="O46" s="4" t="s">
        <v>104</v>
      </c>
      <c r="P46" s="4">
        <v>8</v>
      </c>
      <c r="Q46" s="4">
        <v>9</v>
      </c>
      <c r="R46" s="4">
        <v>10</v>
      </c>
      <c r="S46" s="4">
        <v>7</v>
      </c>
      <c r="T46" s="4" t="s">
        <v>49</v>
      </c>
      <c r="U46" s="4">
        <v>5</v>
      </c>
      <c r="V46" s="4">
        <v>9</v>
      </c>
      <c r="W46" s="4">
        <v>18</v>
      </c>
      <c r="X46" s="4">
        <v>0</v>
      </c>
      <c r="Y46" s="4">
        <v>7.2</v>
      </c>
      <c r="Z46" s="4">
        <v>3.3</v>
      </c>
      <c r="AA46" s="4" t="s">
        <v>37</v>
      </c>
      <c r="AB46" s="4" t="s">
        <v>46</v>
      </c>
    </row>
    <row r="47" spans="1:28" ht="15.75" customHeight="1">
      <c r="A47" s="4" t="s">
        <v>123</v>
      </c>
      <c r="B47" s="4" t="s">
        <v>29</v>
      </c>
      <c r="C47" s="4" t="s">
        <v>102</v>
      </c>
      <c r="D47" s="4" t="s">
        <v>103</v>
      </c>
      <c r="E47" s="4" t="s">
        <v>78</v>
      </c>
      <c r="F47" s="4" t="s">
        <v>85</v>
      </c>
      <c r="G47" s="4" t="s">
        <v>34</v>
      </c>
      <c r="H47" s="4" t="s">
        <v>45</v>
      </c>
      <c r="I47" s="4">
        <v>10</v>
      </c>
      <c r="J47" s="4">
        <v>6</v>
      </c>
      <c r="K47" s="4">
        <v>4.0999999999999996</v>
      </c>
      <c r="L47" s="4">
        <v>4.2</v>
      </c>
      <c r="M47" s="4">
        <v>50</v>
      </c>
      <c r="N47" s="4">
        <v>120</v>
      </c>
      <c r="O47" s="4" t="s">
        <v>104</v>
      </c>
      <c r="P47" s="4">
        <v>9</v>
      </c>
      <c r="Q47" s="4">
        <v>9</v>
      </c>
      <c r="R47" s="4">
        <v>10</v>
      </c>
      <c r="S47" s="4">
        <v>10</v>
      </c>
      <c r="T47" s="4" t="s">
        <v>36</v>
      </c>
      <c r="U47" s="4">
        <v>5</v>
      </c>
      <c r="V47" s="4">
        <v>9</v>
      </c>
      <c r="W47" s="4">
        <v>18</v>
      </c>
      <c r="X47" s="4">
        <v>0</v>
      </c>
      <c r="Y47" s="4">
        <v>11.9</v>
      </c>
      <c r="Z47" s="4">
        <v>3.8</v>
      </c>
      <c r="AA47" s="4" t="s">
        <v>37</v>
      </c>
      <c r="AB47" s="4" t="s">
        <v>46</v>
      </c>
    </row>
    <row r="48" spans="1:28" ht="15.75" customHeight="1">
      <c r="A48" s="4" t="s">
        <v>124</v>
      </c>
      <c r="B48" s="4" t="s">
        <v>29</v>
      </c>
      <c r="C48" s="4" t="s">
        <v>102</v>
      </c>
      <c r="D48" s="4" t="s">
        <v>103</v>
      </c>
      <c r="E48" s="4" t="s">
        <v>78</v>
      </c>
      <c r="F48" s="4" t="s">
        <v>89</v>
      </c>
      <c r="G48" s="4" t="s">
        <v>41</v>
      </c>
      <c r="H48" s="4" t="s">
        <v>45</v>
      </c>
      <c r="I48" s="4">
        <v>7</v>
      </c>
      <c r="J48" s="4">
        <v>10</v>
      </c>
      <c r="K48" s="4">
        <v>4</v>
      </c>
      <c r="L48" s="4">
        <v>4.2</v>
      </c>
      <c r="M48" s="4">
        <v>50</v>
      </c>
      <c r="N48" s="4">
        <v>120</v>
      </c>
      <c r="O48" s="4" t="s">
        <v>104</v>
      </c>
      <c r="P48" s="4">
        <v>10</v>
      </c>
      <c r="Q48" s="4">
        <v>10</v>
      </c>
      <c r="R48" s="4">
        <v>9</v>
      </c>
      <c r="S48" s="4">
        <v>7</v>
      </c>
      <c r="T48" s="4" t="s">
        <v>36</v>
      </c>
      <c r="U48" s="4">
        <v>6</v>
      </c>
      <c r="V48" s="4">
        <v>9</v>
      </c>
      <c r="W48" s="4">
        <v>18</v>
      </c>
      <c r="X48" s="4">
        <v>0</v>
      </c>
      <c r="Y48" s="4">
        <v>4</v>
      </c>
      <c r="Z48" s="4">
        <v>8.8000000000000007</v>
      </c>
      <c r="AA48" s="4" t="s">
        <v>86</v>
      </c>
      <c r="AB48" s="4" t="s">
        <v>38</v>
      </c>
    </row>
    <row r="49" spans="1:28" ht="15.75" customHeight="1">
      <c r="A49" s="4" t="s">
        <v>125</v>
      </c>
      <c r="B49" s="4" t="s">
        <v>29</v>
      </c>
      <c r="C49" s="4" t="s">
        <v>102</v>
      </c>
      <c r="D49" s="4" t="s">
        <v>103</v>
      </c>
      <c r="E49" s="4" t="s">
        <v>91</v>
      </c>
      <c r="F49" s="4" t="s">
        <v>92</v>
      </c>
      <c r="G49" s="4" t="s">
        <v>41</v>
      </c>
      <c r="H49" s="4" t="s">
        <v>45</v>
      </c>
      <c r="I49" s="4">
        <v>10</v>
      </c>
      <c r="J49" s="4">
        <v>10</v>
      </c>
      <c r="K49" s="4">
        <v>4.7</v>
      </c>
      <c r="L49" s="4">
        <v>4.2</v>
      </c>
      <c r="M49" s="4">
        <v>50</v>
      </c>
      <c r="N49" s="4">
        <v>120</v>
      </c>
      <c r="O49" s="4" t="s">
        <v>104</v>
      </c>
      <c r="P49" s="4">
        <v>10</v>
      </c>
      <c r="Q49" s="4">
        <v>8</v>
      </c>
      <c r="R49" s="4">
        <v>9</v>
      </c>
      <c r="S49" s="4">
        <v>8</v>
      </c>
      <c r="T49" s="4" t="s">
        <v>36</v>
      </c>
      <c r="U49" s="4">
        <v>6</v>
      </c>
      <c r="V49" s="4">
        <v>9</v>
      </c>
      <c r="W49" s="4">
        <v>18</v>
      </c>
      <c r="X49" s="4">
        <v>0</v>
      </c>
      <c r="Y49" s="4">
        <v>6.5</v>
      </c>
      <c r="Z49" s="4">
        <v>10</v>
      </c>
      <c r="AA49" s="4" t="s">
        <v>86</v>
      </c>
      <c r="AB49" s="4" t="s">
        <v>38</v>
      </c>
    </row>
    <row r="50" spans="1:28" ht="15.75" customHeight="1">
      <c r="A50" s="4" t="s">
        <v>126</v>
      </c>
      <c r="B50" s="4" t="s">
        <v>29</v>
      </c>
      <c r="C50" s="4" t="s">
        <v>102</v>
      </c>
      <c r="D50" s="4" t="s">
        <v>103</v>
      </c>
      <c r="E50" s="4" t="s">
        <v>91</v>
      </c>
      <c r="F50" s="4" t="s">
        <v>94</v>
      </c>
      <c r="G50" s="4" t="s">
        <v>41</v>
      </c>
      <c r="H50" s="4" t="s">
        <v>34</v>
      </c>
      <c r="I50" s="4">
        <v>9</v>
      </c>
      <c r="J50" s="4">
        <v>8</v>
      </c>
      <c r="K50" s="4">
        <v>4.3</v>
      </c>
      <c r="L50" s="4">
        <v>4.2</v>
      </c>
      <c r="M50" s="4">
        <v>50</v>
      </c>
      <c r="N50" s="4">
        <v>120</v>
      </c>
      <c r="O50" s="4" t="s">
        <v>104</v>
      </c>
      <c r="P50" s="4">
        <v>9</v>
      </c>
      <c r="Q50" s="4">
        <v>8</v>
      </c>
      <c r="R50" s="4">
        <v>9</v>
      </c>
      <c r="S50" s="4">
        <v>8</v>
      </c>
      <c r="T50" s="4" t="s">
        <v>36</v>
      </c>
      <c r="U50" s="4">
        <v>8</v>
      </c>
      <c r="V50" s="4">
        <v>6</v>
      </c>
      <c r="W50" s="4">
        <v>18</v>
      </c>
      <c r="X50" s="4">
        <v>6.75</v>
      </c>
      <c r="Y50" s="4">
        <v>-5.3</v>
      </c>
      <c r="Z50" s="4">
        <v>8.4</v>
      </c>
      <c r="AA50" s="4" t="s">
        <v>86</v>
      </c>
      <c r="AB50" s="4" t="s">
        <v>87</v>
      </c>
    </row>
    <row r="51" spans="1:28" ht="15.75" customHeight="1">
      <c r="A51" s="4" t="s">
        <v>127</v>
      </c>
      <c r="B51" s="4" t="s">
        <v>29</v>
      </c>
      <c r="C51" s="4" t="s">
        <v>102</v>
      </c>
      <c r="D51" s="4" t="s">
        <v>103</v>
      </c>
      <c r="E51" s="4" t="s">
        <v>91</v>
      </c>
      <c r="F51" s="4" t="s">
        <v>96</v>
      </c>
      <c r="G51" s="4" t="s">
        <v>41</v>
      </c>
      <c r="H51" s="4" t="s">
        <v>45</v>
      </c>
      <c r="I51" s="4">
        <v>7</v>
      </c>
      <c r="J51" s="4">
        <v>9</v>
      </c>
      <c r="K51" s="4">
        <v>4.5999999999999996</v>
      </c>
      <c r="L51" s="4">
        <v>4.2</v>
      </c>
      <c r="M51" s="4">
        <v>50</v>
      </c>
      <c r="N51" s="4">
        <v>120</v>
      </c>
      <c r="O51" s="4" t="s">
        <v>104</v>
      </c>
      <c r="P51" s="4">
        <v>6</v>
      </c>
      <c r="Q51" s="4">
        <v>10</v>
      </c>
      <c r="R51" s="4">
        <v>7</v>
      </c>
      <c r="S51" s="4">
        <v>10</v>
      </c>
      <c r="T51" s="4" t="s">
        <v>36</v>
      </c>
      <c r="U51" s="4">
        <v>5</v>
      </c>
      <c r="V51" s="4">
        <v>6</v>
      </c>
      <c r="W51" s="4">
        <v>18</v>
      </c>
      <c r="X51" s="4">
        <v>0</v>
      </c>
      <c r="Y51" s="4">
        <v>4.5999999999999996</v>
      </c>
      <c r="Z51" s="4">
        <v>8.1999999999999993</v>
      </c>
      <c r="AA51" s="4" t="s">
        <v>61</v>
      </c>
      <c r="AB51" s="4" t="s">
        <v>38</v>
      </c>
    </row>
    <row r="52" spans="1:28" ht="15.75" customHeight="1">
      <c r="A52" s="4" t="s">
        <v>128</v>
      </c>
      <c r="B52" s="4" t="s">
        <v>29</v>
      </c>
      <c r="C52" s="4" t="s">
        <v>102</v>
      </c>
      <c r="D52" s="4" t="s">
        <v>103</v>
      </c>
      <c r="E52" s="4" t="s">
        <v>91</v>
      </c>
      <c r="F52" s="4" t="s">
        <v>98</v>
      </c>
      <c r="G52" s="4" t="s">
        <v>34</v>
      </c>
      <c r="H52" s="4" t="s">
        <v>41</v>
      </c>
      <c r="I52" s="4">
        <v>9</v>
      </c>
      <c r="J52" s="4">
        <v>7</v>
      </c>
      <c r="K52" s="4">
        <v>4.2</v>
      </c>
      <c r="L52" s="4">
        <v>4.2</v>
      </c>
      <c r="M52" s="4">
        <v>50</v>
      </c>
      <c r="N52" s="4">
        <v>120</v>
      </c>
      <c r="O52" s="4" t="s">
        <v>104</v>
      </c>
      <c r="P52" s="4">
        <v>8</v>
      </c>
      <c r="Q52" s="4">
        <v>9</v>
      </c>
      <c r="R52" s="4">
        <v>9</v>
      </c>
      <c r="S52" s="4">
        <v>9</v>
      </c>
      <c r="T52" s="4" t="s">
        <v>36</v>
      </c>
      <c r="U52" s="4">
        <v>7</v>
      </c>
      <c r="V52" s="4">
        <v>8</v>
      </c>
      <c r="W52" s="4">
        <v>18</v>
      </c>
      <c r="X52" s="4">
        <v>0</v>
      </c>
      <c r="Y52" s="4">
        <v>5.4</v>
      </c>
      <c r="Z52" s="4">
        <v>3.9</v>
      </c>
      <c r="AA52" s="4" t="s">
        <v>37</v>
      </c>
      <c r="AB52" s="4" t="s">
        <v>42</v>
      </c>
    </row>
    <row r="53" spans="1:28" ht="15.75" customHeight="1">
      <c r="A53" s="4" t="s">
        <v>129</v>
      </c>
      <c r="B53" s="4" t="s">
        <v>29</v>
      </c>
      <c r="C53" s="4" t="s">
        <v>102</v>
      </c>
      <c r="D53" s="4" t="s">
        <v>103</v>
      </c>
      <c r="E53" s="4" t="s">
        <v>91</v>
      </c>
      <c r="F53" s="4" t="s">
        <v>100</v>
      </c>
      <c r="G53" s="4" t="s">
        <v>34</v>
      </c>
      <c r="H53" s="4" t="s">
        <v>41</v>
      </c>
      <c r="I53" s="4">
        <v>10</v>
      </c>
      <c r="J53" s="4">
        <v>5</v>
      </c>
      <c r="K53" s="4">
        <v>4.7</v>
      </c>
      <c r="L53" s="4">
        <v>4.2</v>
      </c>
      <c r="M53" s="4">
        <v>50</v>
      </c>
      <c r="N53" s="4">
        <v>120</v>
      </c>
      <c r="O53" s="4" t="s">
        <v>104</v>
      </c>
      <c r="P53" s="4">
        <v>6</v>
      </c>
      <c r="Q53" s="4">
        <v>9</v>
      </c>
      <c r="R53" s="4">
        <v>7</v>
      </c>
      <c r="S53" s="4">
        <v>7</v>
      </c>
      <c r="T53" s="4" t="s">
        <v>36</v>
      </c>
      <c r="U53" s="4">
        <v>4</v>
      </c>
      <c r="V53" s="4">
        <v>6</v>
      </c>
      <c r="W53" s="4">
        <v>18</v>
      </c>
      <c r="X53" s="4">
        <v>0</v>
      </c>
      <c r="Y53" s="4">
        <v>6.5</v>
      </c>
      <c r="Z53" s="4">
        <v>3.5</v>
      </c>
      <c r="AA53" s="4" t="s">
        <v>37</v>
      </c>
      <c r="AB53" s="4" t="s">
        <v>42</v>
      </c>
    </row>
    <row r="54" spans="1:28" ht="15.75" customHeight="1">
      <c r="A54" s="4" t="s">
        <v>130</v>
      </c>
      <c r="B54" s="4" t="s">
        <v>29</v>
      </c>
      <c r="C54" s="4" t="s">
        <v>131</v>
      </c>
      <c r="D54" s="4" t="s">
        <v>31</v>
      </c>
      <c r="E54" s="4" t="s">
        <v>32</v>
      </c>
      <c r="F54" s="4" t="s">
        <v>33</v>
      </c>
      <c r="G54" s="4" t="s">
        <v>34</v>
      </c>
      <c r="H54" s="4" t="s">
        <v>34</v>
      </c>
      <c r="I54" s="4">
        <v>6</v>
      </c>
      <c r="J54" s="4">
        <v>5</v>
      </c>
      <c r="K54" s="4">
        <v>4.5999999999999996</v>
      </c>
      <c r="L54" s="4">
        <v>4</v>
      </c>
      <c r="M54" s="4">
        <v>50</v>
      </c>
      <c r="N54" s="4">
        <v>85</v>
      </c>
      <c r="O54" s="4" t="s">
        <v>132</v>
      </c>
      <c r="P54" s="4">
        <v>7</v>
      </c>
      <c r="Q54" s="4">
        <v>8</v>
      </c>
      <c r="R54" s="4">
        <v>9</v>
      </c>
      <c r="S54" s="4">
        <v>7</v>
      </c>
      <c r="T54" s="4" t="s">
        <v>36</v>
      </c>
      <c r="U54" s="4">
        <v>5</v>
      </c>
      <c r="V54" s="4">
        <v>9</v>
      </c>
      <c r="W54" s="4">
        <v>15.5</v>
      </c>
      <c r="X54" s="4">
        <v>0</v>
      </c>
      <c r="Y54" s="4">
        <v>0.6</v>
      </c>
      <c r="Z54" s="4">
        <v>2.7</v>
      </c>
      <c r="AA54" s="4" t="s">
        <v>37</v>
      </c>
      <c r="AB54" s="4" t="s">
        <v>38</v>
      </c>
    </row>
    <row r="55" spans="1:28" ht="15.75" customHeight="1">
      <c r="A55" s="4" t="s">
        <v>133</v>
      </c>
      <c r="B55" s="4" t="s">
        <v>29</v>
      </c>
      <c r="C55" s="4" t="s">
        <v>131</v>
      </c>
      <c r="D55" s="4" t="s">
        <v>31</v>
      </c>
      <c r="E55" s="4" t="s">
        <v>32</v>
      </c>
      <c r="F55" s="4" t="s">
        <v>40</v>
      </c>
      <c r="G55" s="4" t="s">
        <v>34</v>
      </c>
      <c r="H55" s="4" t="s">
        <v>41</v>
      </c>
      <c r="I55" s="4">
        <v>6</v>
      </c>
      <c r="J55" s="4">
        <v>6</v>
      </c>
      <c r="K55" s="4">
        <v>4.5</v>
      </c>
      <c r="L55" s="4">
        <v>4</v>
      </c>
      <c r="M55" s="4">
        <v>50</v>
      </c>
      <c r="N55" s="4">
        <v>85</v>
      </c>
      <c r="O55" s="4" t="s">
        <v>132</v>
      </c>
      <c r="P55" s="4">
        <v>6</v>
      </c>
      <c r="Q55" s="4">
        <v>8</v>
      </c>
      <c r="R55" s="4">
        <v>8</v>
      </c>
      <c r="S55" s="4">
        <v>7</v>
      </c>
      <c r="T55" s="4" t="s">
        <v>36</v>
      </c>
      <c r="U55" s="4">
        <v>6</v>
      </c>
      <c r="V55" s="4">
        <v>9</v>
      </c>
      <c r="W55" s="4">
        <v>15.5</v>
      </c>
      <c r="X55" s="4">
        <v>0</v>
      </c>
      <c r="Y55" s="4">
        <v>4.0999999999999996</v>
      </c>
      <c r="Z55" s="4">
        <v>3</v>
      </c>
      <c r="AA55" s="4" t="s">
        <v>37</v>
      </c>
      <c r="AB55" s="4" t="s">
        <v>42</v>
      </c>
    </row>
    <row r="56" spans="1:28" ht="15.75" customHeight="1">
      <c r="A56" s="4" t="s">
        <v>134</v>
      </c>
      <c r="B56" s="4" t="s">
        <v>29</v>
      </c>
      <c r="C56" s="4" t="s">
        <v>131</v>
      </c>
      <c r="D56" s="4" t="s">
        <v>31</v>
      </c>
      <c r="E56" s="4" t="s">
        <v>32</v>
      </c>
      <c r="F56" s="4" t="s">
        <v>44</v>
      </c>
      <c r="G56" s="4" t="s">
        <v>41</v>
      </c>
      <c r="H56" s="4" t="s">
        <v>45</v>
      </c>
      <c r="I56" s="4">
        <v>8</v>
      </c>
      <c r="J56" s="4">
        <v>6</v>
      </c>
      <c r="K56" s="4">
        <v>4.0999999999999996</v>
      </c>
      <c r="L56" s="4">
        <v>4</v>
      </c>
      <c r="M56" s="4">
        <v>50</v>
      </c>
      <c r="N56" s="4">
        <v>85</v>
      </c>
      <c r="O56" s="4" t="s">
        <v>132</v>
      </c>
      <c r="P56" s="4">
        <v>7</v>
      </c>
      <c r="Q56" s="4">
        <v>7</v>
      </c>
      <c r="R56" s="4">
        <v>8</v>
      </c>
      <c r="S56" s="4">
        <v>7</v>
      </c>
      <c r="T56" s="4" t="s">
        <v>36</v>
      </c>
      <c r="U56" s="4">
        <v>8</v>
      </c>
      <c r="V56" s="4">
        <v>6</v>
      </c>
      <c r="W56" s="4">
        <v>15.5</v>
      </c>
      <c r="X56" s="4">
        <v>0</v>
      </c>
      <c r="Y56" s="4">
        <v>4.9000000000000004</v>
      </c>
      <c r="Z56" s="4">
        <v>6.8</v>
      </c>
      <c r="AA56" s="4" t="s">
        <v>61</v>
      </c>
      <c r="AB56" s="4" t="s">
        <v>38</v>
      </c>
    </row>
    <row r="57" spans="1:28" ht="15.75" customHeight="1">
      <c r="A57" s="4" t="s">
        <v>135</v>
      </c>
      <c r="B57" s="4" t="s">
        <v>29</v>
      </c>
      <c r="C57" s="4" t="s">
        <v>131</v>
      </c>
      <c r="D57" s="4" t="s">
        <v>31</v>
      </c>
      <c r="E57" s="4" t="s">
        <v>32</v>
      </c>
      <c r="F57" s="4" t="s">
        <v>48</v>
      </c>
      <c r="G57" s="4" t="s">
        <v>34</v>
      </c>
      <c r="H57" s="4" t="s">
        <v>45</v>
      </c>
      <c r="I57" s="4">
        <v>7</v>
      </c>
      <c r="J57" s="4">
        <v>8</v>
      </c>
      <c r="K57" s="4">
        <v>4.5999999999999996</v>
      </c>
      <c r="L57" s="4">
        <v>4</v>
      </c>
      <c r="M57" s="4">
        <v>50</v>
      </c>
      <c r="N57" s="4">
        <v>85</v>
      </c>
      <c r="O57" s="4" t="s">
        <v>132</v>
      </c>
      <c r="P57" s="4">
        <v>6</v>
      </c>
      <c r="Q57" s="4">
        <v>9</v>
      </c>
      <c r="R57" s="4">
        <v>6</v>
      </c>
      <c r="S57" s="4">
        <v>10</v>
      </c>
      <c r="T57" s="4" t="s">
        <v>36</v>
      </c>
      <c r="U57" s="4">
        <v>4</v>
      </c>
      <c r="V57" s="4">
        <v>9</v>
      </c>
      <c r="W57" s="4">
        <v>15.5</v>
      </c>
      <c r="X57" s="4">
        <v>0</v>
      </c>
      <c r="Y57" s="4">
        <v>9</v>
      </c>
      <c r="Z57" s="4">
        <v>3.8</v>
      </c>
      <c r="AA57" s="4" t="s">
        <v>37</v>
      </c>
      <c r="AB57" s="4" t="s">
        <v>46</v>
      </c>
    </row>
    <row r="58" spans="1:28" ht="15.75" customHeight="1">
      <c r="A58" s="4" t="s">
        <v>136</v>
      </c>
      <c r="B58" s="4" t="s">
        <v>29</v>
      </c>
      <c r="C58" s="4" t="s">
        <v>131</v>
      </c>
      <c r="D58" s="4" t="s">
        <v>31</v>
      </c>
      <c r="E58" s="4" t="s">
        <v>32</v>
      </c>
      <c r="F58" s="4" t="s">
        <v>51</v>
      </c>
      <c r="G58" s="4" t="s">
        <v>34</v>
      </c>
      <c r="H58" s="4" t="s">
        <v>45</v>
      </c>
      <c r="I58" s="4">
        <v>7</v>
      </c>
      <c r="J58" s="4">
        <v>8</v>
      </c>
      <c r="K58" s="4">
        <v>4.5999999999999996</v>
      </c>
      <c r="L58" s="4">
        <v>4</v>
      </c>
      <c r="M58" s="4">
        <v>50</v>
      </c>
      <c r="N58" s="4">
        <v>85</v>
      </c>
      <c r="O58" s="4" t="s">
        <v>132</v>
      </c>
      <c r="P58" s="4">
        <v>9</v>
      </c>
      <c r="Q58" s="4">
        <v>8</v>
      </c>
      <c r="R58" s="4">
        <v>10</v>
      </c>
      <c r="S58" s="4">
        <v>9</v>
      </c>
      <c r="T58" s="4" t="s">
        <v>36</v>
      </c>
      <c r="U58" s="4">
        <v>8</v>
      </c>
      <c r="V58" s="4">
        <v>9</v>
      </c>
      <c r="W58" s="4">
        <v>15.5</v>
      </c>
      <c r="X58" s="4">
        <v>0</v>
      </c>
      <c r="Y58" s="4">
        <v>9</v>
      </c>
      <c r="Z58" s="4">
        <v>3.8</v>
      </c>
      <c r="AA58" s="4" t="s">
        <v>37</v>
      </c>
      <c r="AB58" s="4" t="s">
        <v>46</v>
      </c>
    </row>
    <row r="59" spans="1:28" ht="15.75" customHeight="1">
      <c r="A59" s="4" t="s">
        <v>137</v>
      </c>
      <c r="B59" s="4" t="s">
        <v>29</v>
      </c>
      <c r="C59" s="4" t="s">
        <v>131</v>
      </c>
      <c r="D59" s="4" t="s">
        <v>31</v>
      </c>
      <c r="E59" s="4" t="s">
        <v>32</v>
      </c>
      <c r="F59" s="4" t="s">
        <v>53</v>
      </c>
      <c r="G59" s="4" t="s">
        <v>41</v>
      </c>
      <c r="H59" s="4" t="s">
        <v>41</v>
      </c>
      <c r="I59" s="4">
        <v>7</v>
      </c>
      <c r="J59" s="4">
        <v>10</v>
      </c>
      <c r="K59" s="4">
        <v>4.5</v>
      </c>
      <c r="L59" s="4">
        <v>4</v>
      </c>
      <c r="M59" s="4">
        <v>50</v>
      </c>
      <c r="N59" s="4">
        <v>85</v>
      </c>
      <c r="O59" s="4" t="s">
        <v>132</v>
      </c>
      <c r="P59" s="4">
        <v>8</v>
      </c>
      <c r="Q59" s="4">
        <v>8</v>
      </c>
      <c r="R59" s="4">
        <v>6</v>
      </c>
      <c r="S59" s="4">
        <v>9</v>
      </c>
      <c r="T59" s="4" t="s">
        <v>36</v>
      </c>
      <c r="U59" s="4">
        <v>5</v>
      </c>
      <c r="V59" s="4">
        <v>9</v>
      </c>
      <c r="W59" s="4">
        <v>15.5</v>
      </c>
      <c r="X59" s="4">
        <v>0</v>
      </c>
      <c r="Y59" s="4">
        <v>0.5</v>
      </c>
      <c r="Z59" s="4">
        <v>8.8000000000000007</v>
      </c>
      <c r="AA59" s="4" t="s">
        <v>86</v>
      </c>
      <c r="AB59" s="4" t="s">
        <v>38</v>
      </c>
    </row>
    <row r="60" spans="1:28" ht="15.75" customHeight="1">
      <c r="A60" s="4" t="s">
        <v>138</v>
      </c>
      <c r="B60" s="4" t="s">
        <v>29</v>
      </c>
      <c r="C60" s="4" t="s">
        <v>131</v>
      </c>
      <c r="D60" s="4" t="s">
        <v>31</v>
      </c>
      <c r="E60" s="4" t="s">
        <v>55</v>
      </c>
      <c r="F60" s="4" t="s">
        <v>56</v>
      </c>
      <c r="G60" s="4" t="s">
        <v>41</v>
      </c>
      <c r="H60" s="4" t="s">
        <v>41</v>
      </c>
      <c r="I60" s="4">
        <v>6</v>
      </c>
      <c r="J60" s="4">
        <v>5</v>
      </c>
      <c r="K60" s="4">
        <v>4.4000000000000004</v>
      </c>
      <c r="L60" s="4">
        <v>4</v>
      </c>
      <c r="M60" s="4">
        <v>50</v>
      </c>
      <c r="N60" s="4">
        <v>85</v>
      </c>
      <c r="O60" s="4" t="s">
        <v>132</v>
      </c>
      <c r="P60" s="4">
        <v>8</v>
      </c>
      <c r="Q60" s="4">
        <v>8</v>
      </c>
      <c r="R60" s="4">
        <v>9</v>
      </c>
      <c r="S60" s="4">
        <v>8</v>
      </c>
      <c r="T60" s="4" t="s">
        <v>49</v>
      </c>
      <c r="U60" s="4">
        <v>9</v>
      </c>
      <c r="V60" s="4">
        <v>8</v>
      </c>
      <c r="W60" s="4">
        <v>15.5</v>
      </c>
      <c r="X60" s="4">
        <v>0</v>
      </c>
      <c r="Y60" s="4">
        <v>0.4</v>
      </c>
      <c r="Z60" s="4">
        <v>5.4</v>
      </c>
      <c r="AA60" s="4" t="s">
        <v>61</v>
      </c>
      <c r="AB60" s="4" t="s">
        <v>38</v>
      </c>
    </row>
    <row r="61" spans="1:28" ht="15.75" customHeight="1">
      <c r="A61" s="4" t="s">
        <v>139</v>
      </c>
      <c r="B61" s="4" t="s">
        <v>29</v>
      </c>
      <c r="C61" s="4" t="s">
        <v>131</v>
      </c>
      <c r="D61" s="4" t="s">
        <v>31</v>
      </c>
      <c r="E61" s="4" t="s">
        <v>55</v>
      </c>
      <c r="F61" s="4" t="s">
        <v>58</v>
      </c>
      <c r="G61" s="4" t="s">
        <v>34</v>
      </c>
      <c r="H61" s="4" t="s">
        <v>45</v>
      </c>
      <c r="I61" s="4">
        <v>10</v>
      </c>
      <c r="J61" s="4">
        <v>10</v>
      </c>
      <c r="K61" s="4">
        <v>4.8</v>
      </c>
      <c r="L61" s="4">
        <v>4</v>
      </c>
      <c r="M61" s="4">
        <v>50</v>
      </c>
      <c r="N61" s="4">
        <v>85</v>
      </c>
      <c r="O61" s="4" t="s">
        <v>132</v>
      </c>
      <c r="P61" s="4">
        <v>10</v>
      </c>
      <c r="Q61" s="4">
        <v>7</v>
      </c>
      <c r="R61" s="4">
        <v>10</v>
      </c>
      <c r="S61" s="4">
        <v>8</v>
      </c>
      <c r="T61" s="4" t="s">
        <v>49</v>
      </c>
      <c r="U61" s="4">
        <v>10</v>
      </c>
      <c r="V61" s="4">
        <v>9</v>
      </c>
      <c r="W61" s="4">
        <v>15.5</v>
      </c>
      <c r="X61" s="4">
        <v>0</v>
      </c>
      <c r="Y61" s="4">
        <v>12.8</v>
      </c>
      <c r="Z61" s="4">
        <v>5</v>
      </c>
      <c r="AA61" s="4" t="s">
        <v>61</v>
      </c>
      <c r="AB61" s="4" t="s">
        <v>46</v>
      </c>
    </row>
    <row r="62" spans="1:28" ht="15.75" customHeight="1">
      <c r="A62" s="4" t="s">
        <v>140</v>
      </c>
      <c r="B62" s="4" t="s">
        <v>29</v>
      </c>
      <c r="C62" s="4" t="s">
        <v>131</v>
      </c>
      <c r="D62" s="4" t="s">
        <v>31</v>
      </c>
      <c r="E62" s="4" t="s">
        <v>55</v>
      </c>
      <c r="F62" s="4" t="s">
        <v>60</v>
      </c>
      <c r="G62" s="4" t="s">
        <v>34</v>
      </c>
      <c r="H62" s="4" t="s">
        <v>45</v>
      </c>
      <c r="I62" s="4">
        <v>6</v>
      </c>
      <c r="J62" s="4">
        <v>8</v>
      </c>
      <c r="K62" s="4">
        <v>4.5999999999999996</v>
      </c>
      <c r="L62" s="4">
        <v>4</v>
      </c>
      <c r="M62" s="4">
        <v>50</v>
      </c>
      <c r="N62" s="4">
        <v>85</v>
      </c>
      <c r="O62" s="4" t="s">
        <v>132</v>
      </c>
      <c r="P62" s="4">
        <v>9</v>
      </c>
      <c r="Q62" s="4">
        <v>10</v>
      </c>
      <c r="R62" s="4">
        <v>6</v>
      </c>
      <c r="S62" s="4">
        <v>7</v>
      </c>
      <c r="T62" s="4" t="s">
        <v>49</v>
      </c>
      <c r="U62" s="4">
        <v>10</v>
      </c>
      <c r="V62" s="4">
        <v>7</v>
      </c>
      <c r="W62" s="4">
        <v>15.5</v>
      </c>
      <c r="X62" s="4">
        <v>0</v>
      </c>
      <c r="Y62" s="4">
        <v>7.8</v>
      </c>
      <c r="Z62" s="4">
        <v>3.6</v>
      </c>
      <c r="AA62" s="4" t="s">
        <v>37</v>
      </c>
      <c r="AB62" s="4" t="s">
        <v>46</v>
      </c>
    </row>
    <row r="63" spans="1:28" ht="15.75" customHeight="1">
      <c r="A63" s="4" t="s">
        <v>141</v>
      </c>
      <c r="B63" s="4" t="s">
        <v>29</v>
      </c>
      <c r="C63" s="4" t="s">
        <v>131</v>
      </c>
      <c r="D63" s="4" t="s">
        <v>31</v>
      </c>
      <c r="E63" s="4" t="s">
        <v>55</v>
      </c>
      <c r="F63" s="4" t="s">
        <v>63</v>
      </c>
      <c r="G63" s="4" t="s">
        <v>34</v>
      </c>
      <c r="H63" s="4" t="s">
        <v>45</v>
      </c>
      <c r="I63" s="4">
        <v>10</v>
      </c>
      <c r="J63" s="4">
        <v>9</v>
      </c>
      <c r="K63" s="4">
        <v>4.3</v>
      </c>
      <c r="L63" s="4">
        <v>4</v>
      </c>
      <c r="M63" s="4">
        <v>50</v>
      </c>
      <c r="N63" s="4">
        <v>85</v>
      </c>
      <c r="O63" s="4" t="s">
        <v>132</v>
      </c>
      <c r="P63" s="4">
        <v>10</v>
      </c>
      <c r="Q63" s="4">
        <v>9</v>
      </c>
      <c r="R63" s="4">
        <v>9</v>
      </c>
      <c r="S63" s="4">
        <v>9</v>
      </c>
      <c r="T63" s="4" t="s">
        <v>49</v>
      </c>
      <c r="U63" s="4">
        <v>10</v>
      </c>
      <c r="V63" s="4">
        <v>8</v>
      </c>
      <c r="W63" s="4">
        <v>15.5</v>
      </c>
      <c r="X63" s="4">
        <v>0</v>
      </c>
      <c r="Y63" s="4">
        <v>12.3</v>
      </c>
      <c r="Z63" s="4">
        <v>4.7</v>
      </c>
      <c r="AA63" s="4" t="s">
        <v>37</v>
      </c>
      <c r="AB63" s="4" t="s">
        <v>46</v>
      </c>
    </row>
    <row r="64" spans="1:28" ht="15.75" customHeight="1">
      <c r="A64" s="4" t="s">
        <v>142</v>
      </c>
      <c r="B64" s="4" t="s">
        <v>29</v>
      </c>
      <c r="C64" s="4" t="s">
        <v>131</v>
      </c>
      <c r="D64" s="4" t="s">
        <v>31</v>
      </c>
      <c r="E64" s="4" t="s">
        <v>55</v>
      </c>
      <c r="F64" s="4" t="s">
        <v>65</v>
      </c>
      <c r="G64" s="4" t="s">
        <v>34</v>
      </c>
      <c r="H64" s="4" t="s">
        <v>41</v>
      </c>
      <c r="I64" s="4">
        <v>9</v>
      </c>
      <c r="J64" s="4">
        <v>6</v>
      </c>
      <c r="K64" s="4">
        <v>4.0999999999999996</v>
      </c>
      <c r="L64" s="4">
        <v>4</v>
      </c>
      <c r="M64" s="4">
        <v>50</v>
      </c>
      <c r="N64" s="4">
        <v>85</v>
      </c>
      <c r="O64" s="4" t="s">
        <v>132</v>
      </c>
      <c r="P64" s="4">
        <v>7</v>
      </c>
      <c r="Q64" s="4">
        <v>9</v>
      </c>
      <c r="R64" s="4">
        <v>6</v>
      </c>
      <c r="S64" s="4">
        <v>8</v>
      </c>
      <c r="T64" s="4" t="s">
        <v>49</v>
      </c>
      <c r="U64" s="4">
        <v>10</v>
      </c>
      <c r="V64" s="4">
        <v>8</v>
      </c>
      <c r="W64" s="4">
        <v>15.5</v>
      </c>
      <c r="X64" s="4">
        <v>0</v>
      </c>
      <c r="Y64" s="4">
        <v>5.5</v>
      </c>
      <c r="Z64" s="4">
        <v>3.6</v>
      </c>
      <c r="AA64" s="4" t="s">
        <v>37</v>
      </c>
      <c r="AB64" s="4" t="s">
        <v>42</v>
      </c>
    </row>
    <row r="65" spans="1:28" ht="15.75" customHeight="1">
      <c r="A65" s="4" t="s">
        <v>143</v>
      </c>
      <c r="B65" s="4" t="s">
        <v>29</v>
      </c>
      <c r="C65" s="4" t="s">
        <v>131</v>
      </c>
      <c r="D65" s="4" t="s">
        <v>31</v>
      </c>
      <c r="E65" s="4" t="s">
        <v>67</v>
      </c>
      <c r="F65" s="4" t="s">
        <v>68</v>
      </c>
      <c r="G65" s="4" t="s">
        <v>34</v>
      </c>
      <c r="H65" s="4" t="s">
        <v>34</v>
      </c>
      <c r="I65" s="4">
        <v>6</v>
      </c>
      <c r="J65" s="4">
        <v>6</v>
      </c>
      <c r="K65" s="4">
        <v>4.3</v>
      </c>
      <c r="L65" s="4">
        <v>4</v>
      </c>
      <c r="M65" s="4">
        <v>50</v>
      </c>
      <c r="N65" s="4">
        <v>85</v>
      </c>
      <c r="O65" s="4" t="s">
        <v>132</v>
      </c>
      <c r="P65" s="4">
        <v>8</v>
      </c>
      <c r="Q65" s="4">
        <v>8</v>
      </c>
      <c r="R65" s="4">
        <v>8</v>
      </c>
      <c r="S65" s="4">
        <v>7</v>
      </c>
      <c r="T65" s="4" t="s">
        <v>36</v>
      </c>
      <c r="U65" s="4">
        <v>5</v>
      </c>
      <c r="V65" s="4">
        <v>8</v>
      </c>
      <c r="W65" s="4">
        <v>15.5</v>
      </c>
      <c r="X65" s="4">
        <v>0</v>
      </c>
      <c r="Y65" s="4">
        <v>0.3</v>
      </c>
      <c r="Z65" s="4">
        <v>3</v>
      </c>
      <c r="AA65" s="4" t="s">
        <v>37</v>
      </c>
      <c r="AB65" s="4" t="s">
        <v>38</v>
      </c>
    </row>
    <row r="66" spans="1:28" ht="15.75" customHeight="1">
      <c r="A66" s="4" t="s">
        <v>144</v>
      </c>
      <c r="B66" s="4" t="s">
        <v>29</v>
      </c>
      <c r="C66" s="4" t="s">
        <v>131</v>
      </c>
      <c r="D66" s="4" t="s">
        <v>31</v>
      </c>
      <c r="E66" s="4" t="s">
        <v>67</v>
      </c>
      <c r="F66" s="4" t="s">
        <v>70</v>
      </c>
      <c r="G66" s="4" t="s">
        <v>34</v>
      </c>
      <c r="H66" s="4" t="s">
        <v>34</v>
      </c>
      <c r="I66" s="4">
        <v>6</v>
      </c>
      <c r="J66" s="4">
        <v>9</v>
      </c>
      <c r="K66" s="4">
        <v>4.3</v>
      </c>
      <c r="L66" s="4">
        <v>4</v>
      </c>
      <c r="M66" s="4">
        <v>50</v>
      </c>
      <c r="N66" s="4">
        <v>85</v>
      </c>
      <c r="O66" s="4" t="s">
        <v>132</v>
      </c>
      <c r="P66" s="4">
        <v>7</v>
      </c>
      <c r="Q66" s="4">
        <v>10</v>
      </c>
      <c r="R66" s="4">
        <v>6</v>
      </c>
      <c r="S66" s="4">
        <v>7</v>
      </c>
      <c r="T66" s="4" t="s">
        <v>36</v>
      </c>
      <c r="U66" s="4">
        <v>7</v>
      </c>
      <c r="V66" s="4">
        <v>9</v>
      </c>
      <c r="W66" s="4">
        <v>15.5</v>
      </c>
      <c r="X66" s="4">
        <v>0</v>
      </c>
      <c r="Y66" s="4">
        <v>0.3</v>
      </c>
      <c r="Z66" s="4">
        <v>3.9</v>
      </c>
      <c r="AA66" s="4" t="s">
        <v>37</v>
      </c>
      <c r="AB66" s="4" t="s">
        <v>38</v>
      </c>
    </row>
    <row r="67" spans="1:28" ht="15.75" customHeight="1">
      <c r="A67" s="4" t="s">
        <v>145</v>
      </c>
      <c r="B67" s="4" t="s">
        <v>29</v>
      </c>
      <c r="C67" s="4" t="s">
        <v>131</v>
      </c>
      <c r="D67" s="4" t="s">
        <v>31</v>
      </c>
      <c r="E67" s="4" t="s">
        <v>67</v>
      </c>
      <c r="F67" s="4" t="s">
        <v>72</v>
      </c>
      <c r="G67" s="4" t="s">
        <v>41</v>
      </c>
      <c r="H67" s="4" t="s">
        <v>41</v>
      </c>
      <c r="I67" s="4">
        <v>6</v>
      </c>
      <c r="J67" s="4">
        <v>6</v>
      </c>
      <c r="K67" s="4">
        <v>4.9000000000000004</v>
      </c>
      <c r="L67" s="4">
        <v>4</v>
      </c>
      <c r="M67" s="4">
        <v>50</v>
      </c>
      <c r="N67" s="4">
        <v>85</v>
      </c>
      <c r="O67" s="4" t="s">
        <v>132</v>
      </c>
      <c r="P67" s="4">
        <v>8</v>
      </c>
      <c r="Q67" s="4">
        <v>10</v>
      </c>
      <c r="R67" s="4">
        <v>6</v>
      </c>
      <c r="S67" s="4">
        <v>7</v>
      </c>
      <c r="T67" s="4" t="s">
        <v>36</v>
      </c>
      <c r="U67" s="4">
        <v>4</v>
      </c>
      <c r="V67" s="4">
        <v>6</v>
      </c>
      <c r="W67" s="4">
        <v>15.5</v>
      </c>
      <c r="X67" s="4">
        <v>0</v>
      </c>
      <c r="Y67" s="4">
        <v>0.9</v>
      </c>
      <c r="Z67" s="4">
        <v>6</v>
      </c>
      <c r="AA67" s="4" t="s">
        <v>61</v>
      </c>
      <c r="AB67" s="4" t="s">
        <v>38</v>
      </c>
    </row>
    <row r="68" spans="1:28" ht="15.75" customHeight="1">
      <c r="A68" s="4" t="s">
        <v>146</v>
      </c>
      <c r="B68" s="4" t="s">
        <v>29</v>
      </c>
      <c r="C68" s="4" t="s">
        <v>131</v>
      </c>
      <c r="D68" s="4" t="s">
        <v>31</v>
      </c>
      <c r="E68" s="4" t="s">
        <v>67</v>
      </c>
      <c r="F68" s="4" t="s">
        <v>74</v>
      </c>
      <c r="G68" s="4" t="s">
        <v>34</v>
      </c>
      <c r="H68" s="4" t="s">
        <v>34</v>
      </c>
      <c r="I68" s="4">
        <v>7</v>
      </c>
      <c r="J68" s="4">
        <v>9</v>
      </c>
      <c r="K68" s="4">
        <v>4.9000000000000004</v>
      </c>
      <c r="L68" s="4">
        <v>4</v>
      </c>
      <c r="M68" s="4">
        <v>50</v>
      </c>
      <c r="N68" s="4">
        <v>85</v>
      </c>
      <c r="O68" s="4" t="s">
        <v>132</v>
      </c>
      <c r="P68" s="4">
        <v>6</v>
      </c>
      <c r="Q68" s="4">
        <v>8</v>
      </c>
      <c r="R68" s="4">
        <v>6</v>
      </c>
      <c r="S68" s="4">
        <v>10</v>
      </c>
      <c r="T68" s="4" t="s">
        <v>36</v>
      </c>
      <c r="U68" s="4">
        <v>8</v>
      </c>
      <c r="V68" s="4">
        <v>7</v>
      </c>
      <c r="W68" s="4">
        <v>15.5</v>
      </c>
      <c r="X68" s="4">
        <v>0</v>
      </c>
      <c r="Y68" s="4">
        <v>0.9</v>
      </c>
      <c r="Z68" s="4">
        <v>4.0999999999999996</v>
      </c>
      <c r="AA68" s="4" t="s">
        <v>37</v>
      </c>
      <c r="AB68" s="4" t="s">
        <v>38</v>
      </c>
    </row>
    <row r="69" spans="1:28" ht="15.75" customHeight="1">
      <c r="A69" s="4" t="s">
        <v>147</v>
      </c>
      <c r="B69" s="4" t="s">
        <v>29</v>
      </c>
      <c r="C69" s="4" t="s">
        <v>131</v>
      </c>
      <c r="D69" s="4" t="s">
        <v>31</v>
      </c>
      <c r="E69" s="4" t="s">
        <v>67</v>
      </c>
      <c r="F69" s="4" t="s">
        <v>76</v>
      </c>
      <c r="G69" s="4" t="s">
        <v>41</v>
      </c>
      <c r="H69" s="4" t="s">
        <v>41</v>
      </c>
      <c r="I69" s="4">
        <v>7</v>
      </c>
      <c r="J69" s="4">
        <v>8</v>
      </c>
      <c r="K69" s="4">
        <v>4.3</v>
      </c>
      <c r="L69" s="4">
        <v>4</v>
      </c>
      <c r="M69" s="4">
        <v>50</v>
      </c>
      <c r="N69" s="4">
        <v>85</v>
      </c>
      <c r="O69" s="4" t="s">
        <v>132</v>
      </c>
      <c r="P69" s="4">
        <v>10</v>
      </c>
      <c r="Q69" s="4">
        <v>10</v>
      </c>
      <c r="R69" s="4">
        <v>8</v>
      </c>
      <c r="S69" s="4">
        <v>7</v>
      </c>
      <c r="T69" s="4" t="s">
        <v>36</v>
      </c>
      <c r="U69" s="4">
        <v>4</v>
      </c>
      <c r="V69" s="4">
        <v>7</v>
      </c>
      <c r="W69" s="4">
        <v>15.5</v>
      </c>
      <c r="X69" s="4">
        <v>0</v>
      </c>
      <c r="Y69" s="4">
        <v>0.3</v>
      </c>
      <c r="Z69" s="4">
        <v>7.6</v>
      </c>
      <c r="AA69" s="4" t="s">
        <v>61</v>
      </c>
      <c r="AB69" s="4" t="s">
        <v>38</v>
      </c>
    </row>
    <row r="70" spans="1:28" ht="15.75" customHeight="1">
      <c r="A70" s="4" t="s">
        <v>148</v>
      </c>
      <c r="B70" s="4" t="s">
        <v>29</v>
      </c>
      <c r="C70" s="4" t="s">
        <v>131</v>
      </c>
      <c r="D70" s="4" t="s">
        <v>31</v>
      </c>
      <c r="E70" s="4" t="s">
        <v>78</v>
      </c>
      <c r="F70" s="4" t="s">
        <v>79</v>
      </c>
      <c r="G70" s="4" t="s">
        <v>34</v>
      </c>
      <c r="H70" s="4" t="s">
        <v>41</v>
      </c>
      <c r="I70" s="4">
        <v>10</v>
      </c>
      <c r="J70" s="4">
        <v>10</v>
      </c>
      <c r="K70" s="4">
        <v>4.0999999999999996</v>
      </c>
      <c r="L70" s="4">
        <v>4</v>
      </c>
      <c r="M70" s="4">
        <v>50</v>
      </c>
      <c r="N70" s="4">
        <v>85</v>
      </c>
      <c r="O70" s="4" t="s">
        <v>132</v>
      </c>
      <c r="P70" s="4">
        <v>7</v>
      </c>
      <c r="Q70" s="4">
        <v>8</v>
      </c>
      <c r="R70" s="4">
        <v>10</v>
      </c>
      <c r="S70" s="4">
        <v>7</v>
      </c>
      <c r="T70" s="4" t="s">
        <v>49</v>
      </c>
      <c r="U70" s="4">
        <v>7</v>
      </c>
      <c r="V70" s="4">
        <v>9</v>
      </c>
      <c r="W70" s="4">
        <v>15.5</v>
      </c>
      <c r="X70" s="4">
        <v>0</v>
      </c>
      <c r="Y70" s="4">
        <v>6.1</v>
      </c>
      <c r="Z70" s="4">
        <v>5</v>
      </c>
      <c r="AA70" s="4" t="s">
        <v>61</v>
      </c>
      <c r="AB70" s="4" t="s">
        <v>42</v>
      </c>
    </row>
    <row r="71" spans="1:28" ht="15.75" customHeight="1">
      <c r="A71" s="4" t="s">
        <v>149</v>
      </c>
      <c r="B71" s="4" t="s">
        <v>29</v>
      </c>
      <c r="C71" s="4" t="s">
        <v>131</v>
      </c>
      <c r="D71" s="4" t="s">
        <v>31</v>
      </c>
      <c r="E71" s="4" t="s">
        <v>78</v>
      </c>
      <c r="F71" s="4" t="s">
        <v>81</v>
      </c>
      <c r="G71" s="4" t="s">
        <v>41</v>
      </c>
      <c r="H71" s="4" t="s">
        <v>41</v>
      </c>
      <c r="I71" s="4">
        <v>10</v>
      </c>
      <c r="J71" s="4">
        <v>5</v>
      </c>
      <c r="K71" s="4">
        <v>4.2</v>
      </c>
      <c r="L71" s="4">
        <v>4</v>
      </c>
      <c r="M71" s="4">
        <v>50</v>
      </c>
      <c r="N71" s="4">
        <v>85</v>
      </c>
      <c r="O71" s="4" t="s">
        <v>132</v>
      </c>
      <c r="P71" s="4">
        <v>8</v>
      </c>
      <c r="Q71" s="4">
        <v>10</v>
      </c>
      <c r="R71" s="4">
        <v>6</v>
      </c>
      <c r="S71" s="4">
        <v>8</v>
      </c>
      <c r="T71" s="4" t="s">
        <v>36</v>
      </c>
      <c r="U71" s="4">
        <v>8</v>
      </c>
      <c r="V71" s="4">
        <v>10</v>
      </c>
      <c r="W71" s="4">
        <v>15.5</v>
      </c>
      <c r="X71" s="4">
        <v>0</v>
      </c>
      <c r="Y71" s="4">
        <v>0.2</v>
      </c>
      <c r="Z71" s="4">
        <v>7</v>
      </c>
      <c r="AA71" s="4" t="s">
        <v>61</v>
      </c>
      <c r="AB71" s="4" t="s">
        <v>38</v>
      </c>
    </row>
    <row r="72" spans="1:28" ht="15.75" customHeight="1">
      <c r="A72" s="4" t="s">
        <v>150</v>
      </c>
      <c r="B72" s="4" t="s">
        <v>29</v>
      </c>
      <c r="C72" s="4" t="s">
        <v>131</v>
      </c>
      <c r="D72" s="4" t="s">
        <v>31</v>
      </c>
      <c r="E72" s="4" t="s">
        <v>78</v>
      </c>
      <c r="F72" s="4" t="s">
        <v>83</v>
      </c>
      <c r="G72" s="4" t="s">
        <v>34</v>
      </c>
      <c r="H72" s="4" t="s">
        <v>41</v>
      </c>
      <c r="I72" s="4">
        <v>6</v>
      </c>
      <c r="J72" s="4">
        <v>5</v>
      </c>
      <c r="K72" s="4">
        <v>4.5</v>
      </c>
      <c r="L72" s="4">
        <v>4</v>
      </c>
      <c r="M72" s="4">
        <v>50</v>
      </c>
      <c r="N72" s="4">
        <v>85</v>
      </c>
      <c r="O72" s="4" t="s">
        <v>132</v>
      </c>
      <c r="P72" s="4">
        <v>7</v>
      </c>
      <c r="Q72" s="4">
        <v>9</v>
      </c>
      <c r="R72" s="4">
        <v>7</v>
      </c>
      <c r="S72" s="4">
        <v>7</v>
      </c>
      <c r="T72" s="4" t="s">
        <v>49</v>
      </c>
      <c r="U72" s="4">
        <v>6</v>
      </c>
      <c r="V72" s="4">
        <v>10</v>
      </c>
      <c r="W72" s="4">
        <v>15.5</v>
      </c>
      <c r="X72" s="4">
        <v>0</v>
      </c>
      <c r="Y72" s="4">
        <v>4.0999999999999996</v>
      </c>
      <c r="Z72" s="4">
        <v>2.7</v>
      </c>
      <c r="AA72" s="4" t="s">
        <v>37</v>
      </c>
      <c r="AB72" s="4" t="s">
        <v>42</v>
      </c>
    </row>
    <row r="73" spans="1:28" ht="15.75" customHeight="1">
      <c r="A73" s="4" t="s">
        <v>151</v>
      </c>
      <c r="B73" s="4" t="s">
        <v>29</v>
      </c>
      <c r="C73" s="4" t="s">
        <v>131</v>
      </c>
      <c r="D73" s="4" t="s">
        <v>31</v>
      </c>
      <c r="E73" s="4" t="s">
        <v>78</v>
      </c>
      <c r="F73" s="4" t="s">
        <v>85</v>
      </c>
      <c r="G73" s="4" t="s">
        <v>34</v>
      </c>
      <c r="H73" s="4" t="s">
        <v>41</v>
      </c>
      <c r="I73" s="4">
        <v>10</v>
      </c>
      <c r="J73" s="4">
        <v>5</v>
      </c>
      <c r="K73" s="4">
        <v>4.4000000000000004</v>
      </c>
      <c r="L73" s="4">
        <v>4</v>
      </c>
      <c r="M73" s="4">
        <v>50</v>
      </c>
      <c r="N73" s="4">
        <v>85</v>
      </c>
      <c r="O73" s="4" t="s">
        <v>132</v>
      </c>
      <c r="P73" s="4">
        <v>8</v>
      </c>
      <c r="Q73" s="4">
        <v>10</v>
      </c>
      <c r="R73" s="4">
        <v>8</v>
      </c>
      <c r="S73" s="4">
        <v>10</v>
      </c>
      <c r="T73" s="4" t="s">
        <v>36</v>
      </c>
      <c r="U73" s="4">
        <v>8</v>
      </c>
      <c r="V73" s="4">
        <v>8</v>
      </c>
      <c r="W73" s="4">
        <v>15.5</v>
      </c>
      <c r="X73" s="4">
        <v>0</v>
      </c>
      <c r="Y73" s="4">
        <v>6.4</v>
      </c>
      <c r="Z73" s="4">
        <v>3.5</v>
      </c>
      <c r="AA73" s="4" t="s">
        <v>37</v>
      </c>
      <c r="AB73" s="4" t="s">
        <v>42</v>
      </c>
    </row>
    <row r="74" spans="1:28" ht="15.75" customHeight="1">
      <c r="A74" s="4" t="s">
        <v>152</v>
      </c>
      <c r="B74" s="4" t="s">
        <v>29</v>
      </c>
      <c r="C74" s="4" t="s">
        <v>131</v>
      </c>
      <c r="D74" s="4" t="s">
        <v>31</v>
      </c>
      <c r="E74" s="4" t="s">
        <v>78</v>
      </c>
      <c r="F74" s="4" t="s">
        <v>89</v>
      </c>
      <c r="G74" s="4" t="s">
        <v>41</v>
      </c>
      <c r="H74" s="4" t="s">
        <v>45</v>
      </c>
      <c r="I74" s="4">
        <v>7</v>
      </c>
      <c r="J74" s="4">
        <v>7</v>
      </c>
      <c r="K74" s="4">
        <v>4.5</v>
      </c>
      <c r="L74" s="4">
        <v>4</v>
      </c>
      <c r="M74" s="4">
        <v>50</v>
      </c>
      <c r="N74" s="4">
        <v>85</v>
      </c>
      <c r="O74" s="4" t="s">
        <v>132</v>
      </c>
      <c r="P74" s="4">
        <v>6</v>
      </c>
      <c r="Q74" s="4">
        <v>7</v>
      </c>
      <c r="R74" s="4">
        <v>7</v>
      </c>
      <c r="S74" s="4">
        <v>7</v>
      </c>
      <c r="T74" s="4" t="s">
        <v>36</v>
      </c>
      <c r="U74" s="4">
        <v>6</v>
      </c>
      <c r="V74" s="4">
        <v>10</v>
      </c>
      <c r="W74" s="4">
        <v>15.5</v>
      </c>
      <c r="X74" s="4">
        <v>0</v>
      </c>
      <c r="Y74" s="4">
        <v>4.7</v>
      </c>
      <c r="Z74" s="4">
        <v>7</v>
      </c>
      <c r="AA74" s="4" t="s">
        <v>61</v>
      </c>
      <c r="AB74" s="4" t="s">
        <v>38</v>
      </c>
    </row>
    <row r="75" spans="1:28" ht="15.75" customHeight="1">
      <c r="A75" s="4" t="s">
        <v>153</v>
      </c>
      <c r="B75" s="4" t="s">
        <v>29</v>
      </c>
      <c r="C75" s="4" t="s">
        <v>131</v>
      </c>
      <c r="D75" s="4" t="s">
        <v>31</v>
      </c>
      <c r="E75" s="4" t="s">
        <v>91</v>
      </c>
      <c r="F75" s="4" t="s">
        <v>92</v>
      </c>
      <c r="G75" s="4" t="s">
        <v>34</v>
      </c>
      <c r="H75" s="4" t="s">
        <v>34</v>
      </c>
      <c r="I75" s="4">
        <v>10</v>
      </c>
      <c r="J75" s="4">
        <v>8</v>
      </c>
      <c r="K75" s="4">
        <v>4.5</v>
      </c>
      <c r="L75" s="4">
        <v>4</v>
      </c>
      <c r="M75" s="4">
        <v>50</v>
      </c>
      <c r="N75" s="4">
        <v>85</v>
      </c>
      <c r="O75" s="4" t="s">
        <v>132</v>
      </c>
      <c r="P75" s="4">
        <v>9</v>
      </c>
      <c r="Q75" s="4">
        <v>9</v>
      </c>
      <c r="R75" s="4">
        <v>7</v>
      </c>
      <c r="S75" s="4">
        <v>10</v>
      </c>
      <c r="T75" s="4" t="s">
        <v>36</v>
      </c>
      <c r="U75" s="4">
        <v>7</v>
      </c>
      <c r="V75" s="4">
        <v>6</v>
      </c>
      <c r="W75" s="4">
        <v>15.5</v>
      </c>
      <c r="X75" s="4">
        <v>0</v>
      </c>
      <c r="Y75" s="4">
        <v>0.5</v>
      </c>
      <c r="Z75" s="4">
        <v>4.4000000000000004</v>
      </c>
      <c r="AA75" s="4" t="s">
        <v>37</v>
      </c>
      <c r="AB75" s="4" t="s">
        <v>38</v>
      </c>
    </row>
    <row r="76" spans="1:28" ht="15.75" customHeight="1">
      <c r="A76" s="4" t="s">
        <v>154</v>
      </c>
      <c r="B76" s="4" t="s">
        <v>29</v>
      </c>
      <c r="C76" s="4" t="s">
        <v>131</v>
      </c>
      <c r="D76" s="4" t="s">
        <v>31</v>
      </c>
      <c r="E76" s="4" t="s">
        <v>91</v>
      </c>
      <c r="F76" s="4" t="s">
        <v>94</v>
      </c>
      <c r="G76" s="4" t="s">
        <v>41</v>
      </c>
      <c r="H76" s="4" t="s">
        <v>41</v>
      </c>
      <c r="I76" s="4">
        <v>9</v>
      </c>
      <c r="J76" s="4">
        <v>8</v>
      </c>
      <c r="K76" s="4">
        <v>4.3</v>
      </c>
      <c r="L76" s="4">
        <v>4</v>
      </c>
      <c r="M76" s="4">
        <v>50</v>
      </c>
      <c r="N76" s="4">
        <v>85</v>
      </c>
      <c r="O76" s="4" t="s">
        <v>132</v>
      </c>
      <c r="P76" s="4">
        <v>6</v>
      </c>
      <c r="Q76" s="4">
        <v>8</v>
      </c>
      <c r="R76" s="4">
        <v>8</v>
      </c>
      <c r="S76" s="4">
        <v>10</v>
      </c>
      <c r="T76" s="4" t="s">
        <v>36</v>
      </c>
      <c r="U76" s="4">
        <v>7</v>
      </c>
      <c r="V76" s="4">
        <v>8</v>
      </c>
      <c r="W76" s="4">
        <v>15.5</v>
      </c>
      <c r="X76" s="4">
        <v>0</v>
      </c>
      <c r="Y76" s="4">
        <v>0.3</v>
      </c>
      <c r="Z76" s="4">
        <v>8.4</v>
      </c>
      <c r="AA76" s="4" t="s">
        <v>61</v>
      </c>
      <c r="AB76" s="4" t="s">
        <v>38</v>
      </c>
    </row>
    <row r="77" spans="1:28" ht="15.75" customHeight="1">
      <c r="A77" s="4" t="s">
        <v>155</v>
      </c>
      <c r="B77" s="4" t="s">
        <v>29</v>
      </c>
      <c r="C77" s="4" t="s">
        <v>131</v>
      </c>
      <c r="D77" s="4" t="s">
        <v>31</v>
      </c>
      <c r="E77" s="4" t="s">
        <v>91</v>
      </c>
      <c r="F77" s="4" t="s">
        <v>96</v>
      </c>
      <c r="G77" s="4" t="s">
        <v>41</v>
      </c>
      <c r="H77" s="4" t="s">
        <v>45</v>
      </c>
      <c r="I77" s="4">
        <v>7</v>
      </c>
      <c r="J77" s="4">
        <v>5</v>
      </c>
      <c r="K77" s="4">
        <v>4.4000000000000004</v>
      </c>
      <c r="L77" s="4">
        <v>4</v>
      </c>
      <c r="M77" s="4">
        <v>50</v>
      </c>
      <c r="N77" s="4">
        <v>85</v>
      </c>
      <c r="O77" s="4" t="s">
        <v>132</v>
      </c>
      <c r="P77" s="4">
        <v>8</v>
      </c>
      <c r="Q77" s="4">
        <v>9</v>
      </c>
      <c r="R77" s="4">
        <v>8</v>
      </c>
      <c r="S77" s="4">
        <v>7</v>
      </c>
      <c r="T77" s="4" t="s">
        <v>36</v>
      </c>
      <c r="U77" s="4">
        <v>7</v>
      </c>
      <c r="V77" s="4">
        <v>6</v>
      </c>
      <c r="W77" s="4">
        <v>15.5</v>
      </c>
      <c r="X77" s="4">
        <v>0</v>
      </c>
      <c r="Y77" s="4">
        <v>4.5999999999999996</v>
      </c>
      <c r="Z77" s="4">
        <v>5.8</v>
      </c>
      <c r="AA77" s="4" t="s">
        <v>61</v>
      </c>
      <c r="AB77" s="4" t="s">
        <v>38</v>
      </c>
    </row>
    <row r="78" spans="1:28" ht="15.75" customHeight="1">
      <c r="A78" s="4" t="s">
        <v>156</v>
      </c>
      <c r="B78" s="4" t="s">
        <v>29</v>
      </c>
      <c r="C78" s="4" t="s">
        <v>131</v>
      </c>
      <c r="D78" s="4" t="s">
        <v>31</v>
      </c>
      <c r="E78" s="4" t="s">
        <v>91</v>
      </c>
      <c r="F78" s="4" t="s">
        <v>98</v>
      </c>
      <c r="G78" s="4" t="s">
        <v>41</v>
      </c>
      <c r="H78" s="4" t="s">
        <v>41</v>
      </c>
      <c r="I78" s="4">
        <v>9</v>
      </c>
      <c r="J78" s="4">
        <v>5</v>
      </c>
      <c r="K78" s="4">
        <v>4.2</v>
      </c>
      <c r="L78" s="4">
        <v>4</v>
      </c>
      <c r="M78" s="4">
        <v>50</v>
      </c>
      <c r="N78" s="4">
        <v>85</v>
      </c>
      <c r="O78" s="4" t="s">
        <v>132</v>
      </c>
      <c r="P78" s="4">
        <v>8</v>
      </c>
      <c r="Q78" s="4">
        <v>10</v>
      </c>
      <c r="R78" s="4">
        <v>9</v>
      </c>
      <c r="S78" s="4">
        <v>7</v>
      </c>
      <c r="T78" s="4" t="s">
        <v>36</v>
      </c>
      <c r="U78" s="4">
        <v>5</v>
      </c>
      <c r="V78" s="4">
        <v>8</v>
      </c>
      <c r="W78" s="4">
        <v>15.5</v>
      </c>
      <c r="X78" s="4">
        <v>0</v>
      </c>
      <c r="Y78" s="4">
        <v>0.2</v>
      </c>
      <c r="Z78" s="4">
        <v>6.6</v>
      </c>
      <c r="AA78" s="4" t="s">
        <v>61</v>
      </c>
      <c r="AB78" s="4" t="s">
        <v>38</v>
      </c>
    </row>
    <row r="79" spans="1:28" ht="15.75" customHeight="1">
      <c r="A79" s="4" t="s">
        <v>157</v>
      </c>
      <c r="B79" s="4" t="s">
        <v>29</v>
      </c>
      <c r="C79" s="4" t="s">
        <v>131</v>
      </c>
      <c r="D79" s="4" t="s">
        <v>31</v>
      </c>
      <c r="E79" s="4" t="s">
        <v>91</v>
      </c>
      <c r="F79" s="4" t="s">
        <v>100</v>
      </c>
      <c r="G79" s="4" t="s">
        <v>34</v>
      </c>
      <c r="H79" s="4" t="s">
        <v>41</v>
      </c>
      <c r="I79" s="4">
        <v>10</v>
      </c>
      <c r="J79" s="4">
        <v>8</v>
      </c>
      <c r="K79" s="4">
        <v>4.8</v>
      </c>
      <c r="L79" s="4">
        <v>4</v>
      </c>
      <c r="M79" s="4">
        <v>50</v>
      </c>
      <c r="N79" s="4">
        <v>85</v>
      </c>
      <c r="O79" s="4" t="s">
        <v>132</v>
      </c>
      <c r="P79" s="4">
        <v>9</v>
      </c>
      <c r="Q79" s="4">
        <v>7</v>
      </c>
      <c r="R79" s="4">
        <v>6</v>
      </c>
      <c r="S79" s="4">
        <v>8</v>
      </c>
      <c r="T79" s="4" t="s">
        <v>36</v>
      </c>
      <c r="U79" s="4">
        <v>5</v>
      </c>
      <c r="V79" s="4">
        <v>8</v>
      </c>
      <c r="W79" s="4">
        <v>15.5</v>
      </c>
      <c r="X79" s="4">
        <v>0</v>
      </c>
      <c r="Y79" s="4">
        <v>6.8</v>
      </c>
      <c r="Z79" s="4">
        <v>4.4000000000000004</v>
      </c>
      <c r="AA79" s="4" t="s">
        <v>37</v>
      </c>
      <c r="AB79" s="4" t="s">
        <v>42</v>
      </c>
    </row>
    <row r="80" spans="1:28" ht="15.75" customHeight="1">
      <c r="A80" s="4" t="s">
        <v>158</v>
      </c>
      <c r="B80" s="4" t="s">
        <v>29</v>
      </c>
      <c r="C80" s="4" t="s">
        <v>159</v>
      </c>
      <c r="D80" s="4" t="s">
        <v>31</v>
      </c>
      <c r="E80" s="4" t="s">
        <v>32</v>
      </c>
      <c r="F80" s="4" t="s">
        <v>33</v>
      </c>
      <c r="G80" s="4" t="s">
        <v>34</v>
      </c>
      <c r="H80" s="4" t="s">
        <v>45</v>
      </c>
      <c r="I80" s="4">
        <v>6</v>
      </c>
      <c r="J80" s="4">
        <v>8</v>
      </c>
      <c r="K80" s="4">
        <v>4.0999999999999996</v>
      </c>
      <c r="L80" s="4">
        <v>4.5999999999999996</v>
      </c>
      <c r="M80" s="4">
        <v>50</v>
      </c>
      <c r="N80" s="4">
        <v>60</v>
      </c>
      <c r="O80" s="4" t="s">
        <v>35</v>
      </c>
      <c r="P80" s="4">
        <v>6</v>
      </c>
      <c r="Q80" s="4">
        <v>10</v>
      </c>
      <c r="R80" s="4">
        <v>6</v>
      </c>
      <c r="S80" s="4">
        <v>8</v>
      </c>
      <c r="T80" s="4" t="s">
        <v>36</v>
      </c>
      <c r="U80" s="4">
        <v>6</v>
      </c>
      <c r="V80" s="4">
        <v>8</v>
      </c>
      <c r="W80" s="4">
        <v>12</v>
      </c>
      <c r="X80" s="4">
        <v>0</v>
      </c>
      <c r="Y80" s="4">
        <v>6.7</v>
      </c>
      <c r="Z80" s="4">
        <v>3.6</v>
      </c>
      <c r="AA80" s="4" t="s">
        <v>37</v>
      </c>
      <c r="AB80" s="4" t="s">
        <v>46</v>
      </c>
    </row>
    <row r="81" spans="1:28" ht="15.75" customHeight="1">
      <c r="A81" s="4" t="s">
        <v>160</v>
      </c>
      <c r="B81" s="4" t="s">
        <v>29</v>
      </c>
      <c r="C81" s="4" t="s">
        <v>159</v>
      </c>
      <c r="D81" s="4" t="s">
        <v>31</v>
      </c>
      <c r="E81" s="4" t="s">
        <v>32</v>
      </c>
      <c r="F81" s="4" t="s">
        <v>40</v>
      </c>
      <c r="G81" s="4" t="s">
        <v>41</v>
      </c>
      <c r="H81" s="4" t="s">
        <v>41</v>
      </c>
      <c r="I81" s="4">
        <v>6</v>
      </c>
      <c r="J81" s="4">
        <v>8</v>
      </c>
      <c r="K81" s="4">
        <v>4.2</v>
      </c>
      <c r="L81" s="4">
        <v>4.5999999999999996</v>
      </c>
      <c r="M81" s="4">
        <v>50</v>
      </c>
      <c r="N81" s="4">
        <v>60</v>
      </c>
      <c r="O81" s="4" t="s">
        <v>35</v>
      </c>
      <c r="P81" s="4">
        <v>10</v>
      </c>
      <c r="Q81" s="4">
        <v>8</v>
      </c>
      <c r="R81" s="4">
        <v>9</v>
      </c>
      <c r="S81" s="4">
        <v>8</v>
      </c>
      <c r="T81" s="4" t="s">
        <v>36</v>
      </c>
      <c r="U81" s="4">
        <v>8</v>
      </c>
      <c r="V81" s="4">
        <v>7</v>
      </c>
      <c r="W81" s="4">
        <v>12</v>
      </c>
      <c r="X81" s="4">
        <v>0</v>
      </c>
      <c r="Y81" s="4">
        <v>-0.4</v>
      </c>
      <c r="Z81" s="4">
        <v>7.2</v>
      </c>
      <c r="AA81" s="4" t="s">
        <v>61</v>
      </c>
      <c r="AB81" s="4" t="s">
        <v>38</v>
      </c>
    </row>
    <row r="82" spans="1:28" ht="15.75" customHeight="1">
      <c r="A82" s="4" t="s">
        <v>161</v>
      </c>
      <c r="B82" s="4" t="s">
        <v>29</v>
      </c>
      <c r="C82" s="4" t="s">
        <v>159</v>
      </c>
      <c r="D82" s="4" t="s">
        <v>31</v>
      </c>
      <c r="E82" s="4" t="s">
        <v>32</v>
      </c>
      <c r="F82" s="4" t="s">
        <v>44</v>
      </c>
      <c r="G82" s="4" t="s">
        <v>34</v>
      </c>
      <c r="H82" s="4" t="s">
        <v>41</v>
      </c>
      <c r="I82" s="4">
        <v>8</v>
      </c>
      <c r="J82" s="4">
        <v>8</v>
      </c>
      <c r="K82" s="4">
        <v>4.3</v>
      </c>
      <c r="L82" s="4">
        <v>4.5999999999999996</v>
      </c>
      <c r="M82" s="4">
        <v>50</v>
      </c>
      <c r="N82" s="4">
        <v>60</v>
      </c>
      <c r="O82" s="4" t="s">
        <v>35</v>
      </c>
      <c r="P82" s="4">
        <v>10</v>
      </c>
      <c r="Q82" s="4">
        <v>9</v>
      </c>
      <c r="R82" s="4">
        <v>6</v>
      </c>
      <c r="S82" s="4">
        <v>9</v>
      </c>
      <c r="T82" s="4" t="s">
        <v>36</v>
      </c>
      <c r="U82" s="4">
        <v>8</v>
      </c>
      <c r="V82" s="4">
        <v>9</v>
      </c>
      <c r="W82" s="4">
        <v>12</v>
      </c>
      <c r="X82" s="4">
        <v>0</v>
      </c>
      <c r="Y82" s="4">
        <v>4.5</v>
      </c>
      <c r="Z82" s="4">
        <v>4</v>
      </c>
      <c r="AA82" s="4" t="s">
        <v>37</v>
      </c>
      <c r="AB82" s="4" t="s">
        <v>42</v>
      </c>
    </row>
    <row r="83" spans="1:28" ht="15.75" customHeight="1">
      <c r="A83" s="4" t="s">
        <v>162</v>
      </c>
      <c r="B83" s="4" t="s">
        <v>29</v>
      </c>
      <c r="C83" s="4" t="s">
        <v>159</v>
      </c>
      <c r="D83" s="4" t="s">
        <v>31</v>
      </c>
      <c r="E83" s="4" t="s">
        <v>32</v>
      </c>
      <c r="F83" s="4" t="s">
        <v>48</v>
      </c>
      <c r="G83" s="4" t="s">
        <v>34</v>
      </c>
      <c r="H83" s="4" t="s">
        <v>41</v>
      </c>
      <c r="I83" s="4">
        <v>7</v>
      </c>
      <c r="J83" s="4">
        <v>9</v>
      </c>
      <c r="K83" s="4">
        <v>4.4000000000000004</v>
      </c>
      <c r="L83" s="4">
        <v>4.5999999999999996</v>
      </c>
      <c r="M83" s="4">
        <v>50</v>
      </c>
      <c r="N83" s="4">
        <v>60</v>
      </c>
      <c r="O83" s="4" t="s">
        <v>35</v>
      </c>
      <c r="P83" s="4">
        <v>8</v>
      </c>
      <c r="Q83" s="4">
        <v>10</v>
      </c>
      <c r="R83" s="4">
        <v>9</v>
      </c>
      <c r="S83" s="4">
        <v>9</v>
      </c>
      <c r="T83" s="4" t="s">
        <v>36</v>
      </c>
      <c r="U83" s="4">
        <v>5</v>
      </c>
      <c r="V83" s="4">
        <v>9</v>
      </c>
      <c r="W83" s="4">
        <v>12</v>
      </c>
      <c r="X83" s="4">
        <v>0</v>
      </c>
      <c r="Y83" s="4">
        <v>4</v>
      </c>
      <c r="Z83" s="4">
        <v>4.0999999999999996</v>
      </c>
      <c r="AA83" s="4" t="s">
        <v>37</v>
      </c>
      <c r="AB83" s="4" t="s">
        <v>42</v>
      </c>
    </row>
    <row r="84" spans="1:28" ht="15.75" customHeight="1">
      <c r="A84" s="4" t="s">
        <v>163</v>
      </c>
      <c r="B84" s="4" t="s">
        <v>29</v>
      </c>
      <c r="C84" s="4" t="s">
        <v>159</v>
      </c>
      <c r="D84" s="4" t="s">
        <v>31</v>
      </c>
      <c r="E84" s="4" t="s">
        <v>32</v>
      </c>
      <c r="F84" s="4" t="s">
        <v>51</v>
      </c>
      <c r="G84" s="4" t="s">
        <v>34</v>
      </c>
      <c r="H84" s="4" t="s">
        <v>41</v>
      </c>
      <c r="I84" s="4">
        <v>7</v>
      </c>
      <c r="J84" s="4">
        <v>5</v>
      </c>
      <c r="K84" s="4">
        <v>4.3</v>
      </c>
      <c r="L84" s="4">
        <v>4.5999999999999996</v>
      </c>
      <c r="M84" s="4">
        <v>50</v>
      </c>
      <c r="N84" s="4">
        <v>60</v>
      </c>
      <c r="O84" s="4" t="s">
        <v>35</v>
      </c>
      <c r="P84" s="4">
        <v>9</v>
      </c>
      <c r="Q84" s="4">
        <v>10</v>
      </c>
      <c r="R84" s="4">
        <v>9</v>
      </c>
      <c r="S84" s="4">
        <v>8</v>
      </c>
      <c r="T84" s="4" t="s">
        <v>36</v>
      </c>
      <c r="U84" s="4">
        <v>4</v>
      </c>
      <c r="V84" s="4">
        <v>7</v>
      </c>
      <c r="W84" s="4">
        <v>12</v>
      </c>
      <c r="X84" s="4">
        <v>0</v>
      </c>
      <c r="Y84" s="4">
        <v>3.9</v>
      </c>
      <c r="Z84" s="4">
        <v>2.9</v>
      </c>
      <c r="AA84" s="4" t="s">
        <v>37</v>
      </c>
      <c r="AB84" s="4" t="s">
        <v>42</v>
      </c>
    </row>
    <row r="85" spans="1:28" ht="15.75" customHeight="1">
      <c r="A85" s="4" t="s">
        <v>164</v>
      </c>
      <c r="B85" s="4" t="s">
        <v>29</v>
      </c>
      <c r="C85" s="4" t="s">
        <v>159</v>
      </c>
      <c r="D85" s="4" t="s">
        <v>31</v>
      </c>
      <c r="E85" s="4" t="s">
        <v>32</v>
      </c>
      <c r="F85" s="4" t="s">
        <v>53</v>
      </c>
      <c r="G85" s="4" t="s">
        <v>34</v>
      </c>
      <c r="H85" s="4" t="s">
        <v>34</v>
      </c>
      <c r="I85" s="4">
        <v>7</v>
      </c>
      <c r="J85" s="4">
        <v>8</v>
      </c>
      <c r="K85" s="4">
        <v>4.0999999999999996</v>
      </c>
      <c r="L85" s="4">
        <v>4.5999999999999996</v>
      </c>
      <c r="M85" s="4">
        <v>50</v>
      </c>
      <c r="N85" s="4">
        <v>60</v>
      </c>
      <c r="O85" s="4" t="s">
        <v>35</v>
      </c>
      <c r="P85" s="4">
        <v>9</v>
      </c>
      <c r="Q85" s="4">
        <v>7</v>
      </c>
      <c r="R85" s="4">
        <v>7</v>
      </c>
      <c r="S85" s="4">
        <v>10</v>
      </c>
      <c r="T85" s="4" t="s">
        <v>36</v>
      </c>
      <c r="U85" s="4">
        <v>5</v>
      </c>
      <c r="V85" s="4">
        <v>6</v>
      </c>
      <c r="W85" s="4">
        <v>12</v>
      </c>
      <c r="X85" s="4">
        <v>0</v>
      </c>
      <c r="Y85" s="4">
        <v>-0.5</v>
      </c>
      <c r="Z85" s="4">
        <v>3.8</v>
      </c>
      <c r="AA85" s="4" t="s">
        <v>37</v>
      </c>
      <c r="AB85" s="4" t="s">
        <v>38</v>
      </c>
    </row>
    <row r="86" spans="1:28" ht="15.75" customHeight="1">
      <c r="A86" s="4" t="s">
        <v>165</v>
      </c>
      <c r="B86" s="4" t="s">
        <v>29</v>
      </c>
      <c r="C86" s="4" t="s">
        <v>159</v>
      </c>
      <c r="D86" s="4" t="s">
        <v>31</v>
      </c>
      <c r="E86" s="4" t="s">
        <v>55</v>
      </c>
      <c r="F86" s="4" t="s">
        <v>56</v>
      </c>
      <c r="G86" s="4" t="s">
        <v>41</v>
      </c>
      <c r="H86" s="4" t="s">
        <v>41</v>
      </c>
      <c r="I86" s="4">
        <v>6</v>
      </c>
      <c r="J86" s="4">
        <v>7</v>
      </c>
      <c r="K86" s="4">
        <v>4.5999999999999996</v>
      </c>
      <c r="L86" s="4">
        <v>4.5999999999999996</v>
      </c>
      <c r="M86" s="4">
        <v>50</v>
      </c>
      <c r="N86" s="4">
        <v>60</v>
      </c>
      <c r="O86" s="4" t="s">
        <v>35</v>
      </c>
      <c r="P86" s="4">
        <v>9</v>
      </c>
      <c r="Q86" s="4">
        <v>7</v>
      </c>
      <c r="R86" s="4">
        <v>8</v>
      </c>
      <c r="S86" s="4">
        <v>10</v>
      </c>
      <c r="T86" s="4" t="s">
        <v>36</v>
      </c>
      <c r="U86" s="4">
        <v>10</v>
      </c>
      <c r="V86" s="4">
        <v>6</v>
      </c>
      <c r="W86" s="4">
        <v>12</v>
      </c>
      <c r="X86" s="4">
        <v>0</v>
      </c>
      <c r="Y86" s="4">
        <v>0</v>
      </c>
      <c r="Z86" s="4">
        <v>6.6</v>
      </c>
      <c r="AA86" s="4" t="s">
        <v>61</v>
      </c>
      <c r="AB86" s="4" t="s">
        <v>38</v>
      </c>
    </row>
    <row r="87" spans="1:28" ht="15.75" customHeight="1">
      <c r="A87" s="4" t="s">
        <v>166</v>
      </c>
      <c r="B87" s="4" t="s">
        <v>29</v>
      </c>
      <c r="C87" s="4" t="s">
        <v>159</v>
      </c>
      <c r="D87" s="4" t="s">
        <v>31</v>
      </c>
      <c r="E87" s="4" t="s">
        <v>55</v>
      </c>
      <c r="F87" s="4" t="s">
        <v>58</v>
      </c>
      <c r="G87" s="4" t="s">
        <v>34</v>
      </c>
      <c r="H87" s="4" t="s">
        <v>34</v>
      </c>
      <c r="I87" s="4">
        <v>10</v>
      </c>
      <c r="J87" s="4">
        <v>10</v>
      </c>
      <c r="K87" s="4">
        <v>4.5999999999999996</v>
      </c>
      <c r="L87" s="4">
        <v>4.5999999999999996</v>
      </c>
      <c r="M87" s="4">
        <v>50</v>
      </c>
      <c r="N87" s="4">
        <v>60</v>
      </c>
      <c r="O87" s="4" t="s">
        <v>35</v>
      </c>
      <c r="P87" s="4">
        <v>8</v>
      </c>
      <c r="Q87" s="4">
        <v>8</v>
      </c>
      <c r="R87" s="4">
        <v>6</v>
      </c>
      <c r="S87" s="4">
        <v>10</v>
      </c>
      <c r="T87" s="4" t="s">
        <v>36</v>
      </c>
      <c r="U87" s="4">
        <v>7</v>
      </c>
      <c r="V87" s="4">
        <v>9</v>
      </c>
      <c r="W87" s="4">
        <v>12</v>
      </c>
      <c r="X87" s="4">
        <v>0</v>
      </c>
      <c r="Y87" s="4">
        <v>0</v>
      </c>
      <c r="Z87" s="4">
        <v>5</v>
      </c>
      <c r="AA87" s="4" t="s">
        <v>61</v>
      </c>
      <c r="AB87" s="4" t="s">
        <v>38</v>
      </c>
    </row>
    <row r="88" spans="1:28" ht="15.75" customHeight="1">
      <c r="A88" s="4" t="s">
        <v>167</v>
      </c>
      <c r="B88" s="4" t="s">
        <v>29</v>
      </c>
      <c r="C88" s="4" t="s">
        <v>159</v>
      </c>
      <c r="D88" s="4" t="s">
        <v>31</v>
      </c>
      <c r="E88" s="4" t="s">
        <v>55</v>
      </c>
      <c r="F88" s="4" t="s">
        <v>60</v>
      </c>
      <c r="G88" s="4" t="s">
        <v>34</v>
      </c>
      <c r="H88" s="4" t="s">
        <v>45</v>
      </c>
      <c r="I88" s="4">
        <v>6</v>
      </c>
      <c r="J88" s="4">
        <v>7</v>
      </c>
      <c r="K88" s="4">
        <v>4.8</v>
      </c>
      <c r="L88" s="4">
        <v>4.5999999999999996</v>
      </c>
      <c r="M88" s="4">
        <v>50</v>
      </c>
      <c r="N88" s="4">
        <v>60</v>
      </c>
      <c r="O88" s="4" t="s">
        <v>35</v>
      </c>
      <c r="P88" s="4">
        <v>6</v>
      </c>
      <c r="Q88" s="4">
        <v>9</v>
      </c>
      <c r="R88" s="4">
        <v>6</v>
      </c>
      <c r="S88" s="4">
        <v>9</v>
      </c>
      <c r="T88" s="4" t="s">
        <v>49</v>
      </c>
      <c r="U88" s="4">
        <v>10</v>
      </c>
      <c r="V88" s="4">
        <v>7</v>
      </c>
      <c r="W88" s="4">
        <v>12</v>
      </c>
      <c r="X88" s="4">
        <v>0</v>
      </c>
      <c r="Y88" s="4">
        <v>7.4</v>
      </c>
      <c r="Z88" s="4">
        <v>3.3</v>
      </c>
      <c r="AA88" s="4" t="s">
        <v>37</v>
      </c>
      <c r="AB88" s="4" t="s">
        <v>46</v>
      </c>
    </row>
    <row r="89" spans="1:28" ht="15.75" customHeight="1">
      <c r="A89" s="4" t="s">
        <v>168</v>
      </c>
      <c r="B89" s="4" t="s">
        <v>29</v>
      </c>
      <c r="C89" s="4" t="s">
        <v>159</v>
      </c>
      <c r="D89" s="4" t="s">
        <v>31</v>
      </c>
      <c r="E89" s="4" t="s">
        <v>55</v>
      </c>
      <c r="F89" s="4" t="s">
        <v>63</v>
      </c>
      <c r="G89" s="4" t="s">
        <v>34</v>
      </c>
      <c r="H89" s="4" t="s">
        <v>45</v>
      </c>
      <c r="I89" s="4">
        <v>10</v>
      </c>
      <c r="J89" s="4">
        <v>8</v>
      </c>
      <c r="K89" s="4">
        <v>4.5</v>
      </c>
      <c r="L89" s="4">
        <v>4.5999999999999996</v>
      </c>
      <c r="M89" s="4">
        <v>50</v>
      </c>
      <c r="N89" s="4">
        <v>60</v>
      </c>
      <c r="O89" s="4" t="s">
        <v>35</v>
      </c>
      <c r="P89" s="4">
        <v>7</v>
      </c>
      <c r="Q89" s="4">
        <v>8</v>
      </c>
      <c r="R89" s="4">
        <v>7</v>
      </c>
      <c r="S89" s="4">
        <v>7</v>
      </c>
      <c r="T89" s="4" t="s">
        <v>36</v>
      </c>
      <c r="U89" s="4">
        <v>10</v>
      </c>
      <c r="V89" s="4">
        <v>7</v>
      </c>
      <c r="W89" s="4">
        <v>12</v>
      </c>
      <c r="X89" s="4">
        <v>0</v>
      </c>
      <c r="Y89" s="4">
        <v>11.9</v>
      </c>
      <c r="Z89" s="4">
        <v>4.4000000000000004</v>
      </c>
      <c r="AA89" s="4" t="s">
        <v>37</v>
      </c>
      <c r="AB89" s="4" t="s">
        <v>46</v>
      </c>
    </row>
    <row r="90" spans="1:28" ht="15.75" customHeight="1">
      <c r="A90" s="4" t="s">
        <v>169</v>
      </c>
      <c r="B90" s="4" t="s">
        <v>29</v>
      </c>
      <c r="C90" s="4" t="s">
        <v>159</v>
      </c>
      <c r="D90" s="4" t="s">
        <v>31</v>
      </c>
      <c r="E90" s="4" t="s">
        <v>55</v>
      </c>
      <c r="F90" s="4" t="s">
        <v>65</v>
      </c>
      <c r="G90" s="4" t="s">
        <v>41</v>
      </c>
      <c r="H90" s="4" t="s">
        <v>45</v>
      </c>
      <c r="I90" s="4">
        <v>9</v>
      </c>
      <c r="J90" s="4">
        <v>6</v>
      </c>
      <c r="K90" s="4">
        <v>4.2</v>
      </c>
      <c r="L90" s="4">
        <v>4.5999999999999996</v>
      </c>
      <c r="M90" s="4">
        <v>50</v>
      </c>
      <c r="N90" s="4">
        <v>60</v>
      </c>
      <c r="O90" s="4" t="s">
        <v>35</v>
      </c>
      <c r="P90" s="4">
        <v>8</v>
      </c>
      <c r="Q90" s="4">
        <v>10</v>
      </c>
      <c r="R90" s="4">
        <v>8</v>
      </c>
      <c r="S90" s="4">
        <v>7</v>
      </c>
      <c r="T90" s="4" t="s">
        <v>36</v>
      </c>
      <c r="U90" s="4">
        <v>10</v>
      </c>
      <c r="V90" s="4">
        <v>8</v>
      </c>
      <c r="W90" s="4">
        <v>12</v>
      </c>
      <c r="X90" s="4">
        <v>0</v>
      </c>
      <c r="Y90" s="4">
        <v>5</v>
      </c>
      <c r="Z90" s="4">
        <v>7.2</v>
      </c>
      <c r="AA90" s="4" t="s">
        <v>61</v>
      </c>
      <c r="AB90" s="4" t="s">
        <v>38</v>
      </c>
    </row>
    <row r="91" spans="1:28" ht="15.75" customHeight="1">
      <c r="A91" s="4" t="s">
        <v>170</v>
      </c>
      <c r="B91" s="4" t="s">
        <v>29</v>
      </c>
      <c r="C91" s="4" t="s">
        <v>159</v>
      </c>
      <c r="D91" s="4" t="s">
        <v>31</v>
      </c>
      <c r="E91" s="4" t="s">
        <v>67</v>
      </c>
      <c r="F91" s="4" t="s">
        <v>68</v>
      </c>
      <c r="G91" s="4" t="s">
        <v>34</v>
      </c>
      <c r="H91" s="4" t="s">
        <v>34</v>
      </c>
      <c r="I91" s="4">
        <v>6</v>
      </c>
      <c r="J91" s="4">
        <v>8</v>
      </c>
      <c r="K91" s="4">
        <v>4.9000000000000004</v>
      </c>
      <c r="L91" s="4">
        <v>4.5999999999999996</v>
      </c>
      <c r="M91" s="4">
        <v>50</v>
      </c>
      <c r="N91" s="4">
        <v>60</v>
      </c>
      <c r="O91" s="4" t="s">
        <v>35</v>
      </c>
      <c r="P91" s="4">
        <v>10</v>
      </c>
      <c r="Q91" s="4">
        <v>9</v>
      </c>
      <c r="R91" s="4">
        <v>9</v>
      </c>
      <c r="S91" s="4">
        <v>9</v>
      </c>
      <c r="T91" s="4" t="s">
        <v>36</v>
      </c>
      <c r="U91" s="4">
        <v>6</v>
      </c>
      <c r="V91" s="4">
        <v>7</v>
      </c>
      <c r="W91" s="4">
        <v>12</v>
      </c>
      <c r="X91" s="4">
        <v>0</v>
      </c>
      <c r="Y91" s="4">
        <v>0.3</v>
      </c>
      <c r="Z91" s="4">
        <v>3.6</v>
      </c>
      <c r="AA91" s="4" t="s">
        <v>37</v>
      </c>
      <c r="AB91" s="4" t="s">
        <v>38</v>
      </c>
    </row>
    <row r="92" spans="1:28" ht="15.75" customHeight="1">
      <c r="A92" s="4" t="s">
        <v>171</v>
      </c>
      <c r="B92" s="4" t="s">
        <v>29</v>
      </c>
      <c r="C92" s="4" t="s">
        <v>159</v>
      </c>
      <c r="D92" s="4" t="s">
        <v>31</v>
      </c>
      <c r="E92" s="4" t="s">
        <v>67</v>
      </c>
      <c r="F92" s="4" t="s">
        <v>70</v>
      </c>
      <c r="G92" s="4" t="s">
        <v>41</v>
      </c>
      <c r="H92" s="4" t="s">
        <v>41</v>
      </c>
      <c r="I92" s="4">
        <v>6</v>
      </c>
      <c r="J92" s="4">
        <v>5</v>
      </c>
      <c r="K92" s="4">
        <v>4.2</v>
      </c>
      <c r="L92" s="4">
        <v>4.5999999999999996</v>
      </c>
      <c r="M92" s="4">
        <v>50</v>
      </c>
      <c r="N92" s="4">
        <v>60</v>
      </c>
      <c r="O92" s="4" t="s">
        <v>35</v>
      </c>
      <c r="P92" s="4">
        <v>10</v>
      </c>
      <c r="Q92" s="4">
        <v>9</v>
      </c>
      <c r="R92" s="4">
        <v>10</v>
      </c>
      <c r="S92" s="4">
        <v>9</v>
      </c>
      <c r="T92" s="4" t="s">
        <v>36</v>
      </c>
      <c r="U92" s="4">
        <v>6</v>
      </c>
      <c r="V92" s="4">
        <v>6</v>
      </c>
      <c r="W92" s="4">
        <v>12</v>
      </c>
      <c r="X92" s="4">
        <v>0</v>
      </c>
      <c r="Y92" s="4">
        <v>-0.4</v>
      </c>
      <c r="Z92" s="4">
        <v>5.4</v>
      </c>
      <c r="AA92" s="4" t="s">
        <v>61</v>
      </c>
      <c r="AB92" s="4" t="s">
        <v>38</v>
      </c>
    </row>
    <row r="93" spans="1:28" ht="15.75" customHeight="1">
      <c r="A93" s="4" t="s">
        <v>172</v>
      </c>
      <c r="B93" s="4" t="s">
        <v>29</v>
      </c>
      <c r="C93" s="4" t="s">
        <v>159</v>
      </c>
      <c r="D93" s="4" t="s">
        <v>31</v>
      </c>
      <c r="E93" s="4" t="s">
        <v>67</v>
      </c>
      <c r="F93" s="4" t="s">
        <v>72</v>
      </c>
      <c r="G93" s="4" t="s">
        <v>41</v>
      </c>
      <c r="H93" s="4" t="s">
        <v>41</v>
      </c>
      <c r="I93" s="4">
        <v>6</v>
      </c>
      <c r="J93" s="4">
        <v>5</v>
      </c>
      <c r="K93" s="4">
        <v>4.5</v>
      </c>
      <c r="L93" s="4">
        <v>4.5999999999999996</v>
      </c>
      <c r="M93" s="4">
        <v>50</v>
      </c>
      <c r="N93" s="4">
        <v>60</v>
      </c>
      <c r="O93" s="4" t="s">
        <v>35</v>
      </c>
      <c r="P93" s="4">
        <v>6</v>
      </c>
      <c r="Q93" s="4">
        <v>10</v>
      </c>
      <c r="R93" s="4">
        <v>8</v>
      </c>
      <c r="S93" s="4">
        <v>8</v>
      </c>
      <c r="T93" s="4" t="s">
        <v>36</v>
      </c>
      <c r="U93" s="4">
        <v>6</v>
      </c>
      <c r="V93" s="4">
        <v>7</v>
      </c>
      <c r="W93" s="4">
        <v>12</v>
      </c>
      <c r="X93" s="4">
        <v>0</v>
      </c>
      <c r="Y93" s="4">
        <v>-0.1</v>
      </c>
      <c r="Z93" s="4">
        <v>5.4</v>
      </c>
      <c r="AA93" s="4" t="s">
        <v>61</v>
      </c>
      <c r="AB93" s="4" t="s">
        <v>38</v>
      </c>
    </row>
    <row r="94" spans="1:28" ht="15.75" customHeight="1">
      <c r="A94" s="4" t="s">
        <v>173</v>
      </c>
      <c r="B94" s="4" t="s">
        <v>29</v>
      </c>
      <c r="C94" s="4" t="s">
        <v>159</v>
      </c>
      <c r="D94" s="4" t="s">
        <v>31</v>
      </c>
      <c r="E94" s="4" t="s">
        <v>67</v>
      </c>
      <c r="F94" s="4" t="s">
        <v>74</v>
      </c>
      <c r="G94" s="4" t="s">
        <v>34</v>
      </c>
      <c r="H94" s="4" t="s">
        <v>45</v>
      </c>
      <c r="I94" s="4">
        <v>7</v>
      </c>
      <c r="J94" s="4">
        <v>7</v>
      </c>
      <c r="K94" s="4">
        <v>4.5999999999999996</v>
      </c>
      <c r="L94" s="4">
        <v>4.5999999999999996</v>
      </c>
      <c r="M94" s="4">
        <v>50</v>
      </c>
      <c r="N94" s="4">
        <v>60</v>
      </c>
      <c r="O94" s="4" t="s">
        <v>35</v>
      </c>
      <c r="P94" s="4">
        <v>7</v>
      </c>
      <c r="Q94" s="4">
        <v>7</v>
      </c>
      <c r="R94" s="4">
        <v>6</v>
      </c>
      <c r="S94" s="4">
        <v>9</v>
      </c>
      <c r="T94" s="4" t="s">
        <v>36</v>
      </c>
      <c r="U94" s="4">
        <v>4</v>
      </c>
      <c r="V94" s="4">
        <v>8</v>
      </c>
      <c r="W94" s="4">
        <v>12</v>
      </c>
      <c r="X94" s="4">
        <v>0</v>
      </c>
      <c r="Y94" s="4">
        <v>8.4</v>
      </c>
      <c r="Z94" s="4">
        <v>3.5</v>
      </c>
      <c r="AA94" s="4" t="s">
        <v>37</v>
      </c>
      <c r="AB94" s="4" t="s">
        <v>46</v>
      </c>
    </row>
    <row r="95" spans="1:28" ht="15.75" customHeight="1">
      <c r="A95" s="4" t="s">
        <v>174</v>
      </c>
      <c r="B95" s="4" t="s">
        <v>29</v>
      </c>
      <c r="C95" s="4" t="s">
        <v>159</v>
      </c>
      <c r="D95" s="4" t="s">
        <v>31</v>
      </c>
      <c r="E95" s="4" t="s">
        <v>67</v>
      </c>
      <c r="F95" s="4" t="s">
        <v>76</v>
      </c>
      <c r="G95" s="4" t="s">
        <v>34</v>
      </c>
      <c r="H95" s="4" t="s">
        <v>34</v>
      </c>
      <c r="I95" s="4">
        <v>7</v>
      </c>
      <c r="J95" s="4">
        <v>7</v>
      </c>
      <c r="K95" s="4">
        <v>4.3</v>
      </c>
      <c r="L95" s="4">
        <v>4.5999999999999996</v>
      </c>
      <c r="M95" s="4">
        <v>50</v>
      </c>
      <c r="N95" s="4">
        <v>60</v>
      </c>
      <c r="O95" s="4" t="s">
        <v>35</v>
      </c>
      <c r="P95" s="4">
        <v>9</v>
      </c>
      <c r="Q95" s="4">
        <v>8</v>
      </c>
      <c r="R95" s="4">
        <v>7</v>
      </c>
      <c r="S95" s="4">
        <v>8</v>
      </c>
      <c r="T95" s="4" t="s">
        <v>36</v>
      </c>
      <c r="U95" s="4">
        <v>6</v>
      </c>
      <c r="V95" s="4">
        <v>8</v>
      </c>
      <c r="W95" s="4">
        <v>12</v>
      </c>
      <c r="X95" s="4">
        <v>0</v>
      </c>
      <c r="Y95" s="4">
        <v>-0.3</v>
      </c>
      <c r="Z95" s="4">
        <v>3.5</v>
      </c>
      <c r="AA95" s="4" t="s">
        <v>37</v>
      </c>
      <c r="AB95" s="4" t="s">
        <v>38</v>
      </c>
    </row>
    <row r="96" spans="1:28" ht="15.75" customHeight="1">
      <c r="A96" s="4" t="s">
        <v>175</v>
      </c>
      <c r="B96" s="4" t="s">
        <v>29</v>
      </c>
      <c r="C96" s="4" t="s">
        <v>159</v>
      </c>
      <c r="D96" s="4" t="s">
        <v>31</v>
      </c>
      <c r="E96" s="4" t="s">
        <v>78</v>
      </c>
      <c r="F96" s="4" t="s">
        <v>79</v>
      </c>
      <c r="G96" s="4" t="s">
        <v>34</v>
      </c>
      <c r="H96" s="4" t="s">
        <v>41</v>
      </c>
      <c r="I96" s="4">
        <v>10</v>
      </c>
      <c r="J96" s="4">
        <v>8</v>
      </c>
      <c r="K96" s="4">
        <v>4.9000000000000004</v>
      </c>
      <c r="L96" s="4">
        <v>4.5999999999999996</v>
      </c>
      <c r="M96" s="4">
        <v>50</v>
      </c>
      <c r="N96" s="4">
        <v>60</v>
      </c>
      <c r="O96" s="4" t="s">
        <v>35</v>
      </c>
      <c r="P96" s="4">
        <v>8</v>
      </c>
      <c r="Q96" s="4">
        <v>9</v>
      </c>
      <c r="R96" s="4">
        <v>6</v>
      </c>
      <c r="S96" s="4">
        <v>10</v>
      </c>
      <c r="T96" s="4" t="s">
        <v>36</v>
      </c>
      <c r="U96" s="4">
        <v>5</v>
      </c>
      <c r="V96" s="4">
        <v>8</v>
      </c>
      <c r="W96" s="4">
        <v>12</v>
      </c>
      <c r="X96" s="4">
        <v>0</v>
      </c>
      <c r="Y96" s="4">
        <v>6.3</v>
      </c>
      <c r="Z96" s="4">
        <v>4.4000000000000004</v>
      </c>
      <c r="AA96" s="4" t="s">
        <v>37</v>
      </c>
      <c r="AB96" s="4" t="s">
        <v>42</v>
      </c>
    </row>
    <row r="97" spans="1:28" ht="15.75" customHeight="1">
      <c r="A97" s="4" t="s">
        <v>176</v>
      </c>
      <c r="B97" s="4" t="s">
        <v>29</v>
      </c>
      <c r="C97" s="4" t="s">
        <v>159</v>
      </c>
      <c r="D97" s="4" t="s">
        <v>31</v>
      </c>
      <c r="E97" s="4" t="s">
        <v>78</v>
      </c>
      <c r="F97" s="4" t="s">
        <v>81</v>
      </c>
      <c r="G97" s="4" t="s">
        <v>41</v>
      </c>
      <c r="H97" s="4" t="s">
        <v>45</v>
      </c>
      <c r="I97" s="4">
        <v>10</v>
      </c>
      <c r="J97" s="4">
        <v>7</v>
      </c>
      <c r="K97" s="4">
        <v>4.0999999999999996</v>
      </c>
      <c r="L97" s="4">
        <v>4.5999999999999996</v>
      </c>
      <c r="M97" s="4">
        <v>50</v>
      </c>
      <c r="N97" s="4">
        <v>60</v>
      </c>
      <c r="O97" s="4" t="s">
        <v>35</v>
      </c>
      <c r="P97" s="4">
        <v>9</v>
      </c>
      <c r="Q97" s="4">
        <v>7</v>
      </c>
      <c r="R97" s="4">
        <v>8</v>
      </c>
      <c r="S97" s="4">
        <v>7</v>
      </c>
      <c r="T97" s="4" t="s">
        <v>36</v>
      </c>
      <c r="U97" s="4">
        <v>6</v>
      </c>
      <c r="V97" s="4">
        <v>10</v>
      </c>
      <c r="W97" s="4">
        <v>12</v>
      </c>
      <c r="X97" s="4">
        <v>0</v>
      </c>
      <c r="Y97" s="4">
        <v>5.5</v>
      </c>
      <c r="Z97" s="4">
        <v>8.1999999999999993</v>
      </c>
      <c r="AA97" s="4" t="s">
        <v>61</v>
      </c>
      <c r="AB97" s="4" t="s">
        <v>38</v>
      </c>
    </row>
    <row r="98" spans="1:28" ht="15.75" customHeight="1">
      <c r="A98" s="4" t="s">
        <v>177</v>
      </c>
      <c r="B98" s="4" t="s">
        <v>29</v>
      </c>
      <c r="C98" s="4" t="s">
        <v>159</v>
      </c>
      <c r="D98" s="4" t="s">
        <v>31</v>
      </c>
      <c r="E98" s="4" t="s">
        <v>78</v>
      </c>
      <c r="F98" s="4" t="s">
        <v>83</v>
      </c>
      <c r="G98" s="4" t="s">
        <v>41</v>
      </c>
      <c r="H98" s="4" t="s">
        <v>45</v>
      </c>
      <c r="I98" s="4">
        <v>6</v>
      </c>
      <c r="J98" s="4">
        <v>7</v>
      </c>
      <c r="K98" s="4">
        <v>4.0999999999999996</v>
      </c>
      <c r="L98" s="4">
        <v>4.5999999999999996</v>
      </c>
      <c r="M98" s="4">
        <v>50</v>
      </c>
      <c r="N98" s="4">
        <v>60</v>
      </c>
      <c r="O98" s="4" t="s">
        <v>35</v>
      </c>
      <c r="P98" s="4">
        <v>7</v>
      </c>
      <c r="Q98" s="4">
        <v>10</v>
      </c>
      <c r="R98" s="4">
        <v>6</v>
      </c>
      <c r="S98" s="4">
        <v>9</v>
      </c>
      <c r="T98" s="4" t="s">
        <v>36</v>
      </c>
      <c r="U98" s="4">
        <v>5</v>
      </c>
      <c r="V98" s="4">
        <v>10</v>
      </c>
      <c r="W98" s="4">
        <v>12</v>
      </c>
      <c r="X98" s="4">
        <v>0</v>
      </c>
      <c r="Y98" s="4">
        <v>3.1</v>
      </c>
      <c r="Z98" s="4">
        <v>6.6</v>
      </c>
      <c r="AA98" s="4" t="s">
        <v>61</v>
      </c>
      <c r="AB98" s="4" t="s">
        <v>38</v>
      </c>
    </row>
    <row r="99" spans="1:28" ht="15.75" customHeight="1">
      <c r="A99" s="4" t="s">
        <v>178</v>
      </c>
      <c r="B99" s="4" t="s">
        <v>29</v>
      </c>
      <c r="C99" s="4" t="s">
        <v>159</v>
      </c>
      <c r="D99" s="4" t="s">
        <v>31</v>
      </c>
      <c r="E99" s="4" t="s">
        <v>78</v>
      </c>
      <c r="F99" s="4" t="s">
        <v>85</v>
      </c>
      <c r="G99" s="4" t="s">
        <v>34</v>
      </c>
      <c r="H99" s="4" t="s">
        <v>45</v>
      </c>
      <c r="I99" s="4">
        <v>10</v>
      </c>
      <c r="J99" s="4">
        <v>8</v>
      </c>
      <c r="K99" s="4">
        <v>4.8</v>
      </c>
      <c r="L99" s="4">
        <v>4.5999999999999996</v>
      </c>
      <c r="M99" s="4">
        <v>50</v>
      </c>
      <c r="N99" s="4">
        <v>60</v>
      </c>
      <c r="O99" s="4" t="s">
        <v>35</v>
      </c>
      <c r="P99" s="4">
        <v>8</v>
      </c>
      <c r="Q99" s="4">
        <v>10</v>
      </c>
      <c r="R99" s="4">
        <v>6</v>
      </c>
      <c r="S99" s="4">
        <v>8</v>
      </c>
      <c r="T99" s="4" t="s">
        <v>49</v>
      </c>
      <c r="U99" s="4">
        <v>4</v>
      </c>
      <c r="V99" s="4">
        <v>9</v>
      </c>
      <c r="W99" s="4">
        <v>12</v>
      </c>
      <c r="X99" s="4">
        <v>0</v>
      </c>
      <c r="Y99" s="4">
        <v>12.2</v>
      </c>
      <c r="Z99" s="4">
        <v>4.4000000000000004</v>
      </c>
      <c r="AA99" s="4" t="s">
        <v>37</v>
      </c>
      <c r="AB99" s="4" t="s">
        <v>46</v>
      </c>
    </row>
    <row r="100" spans="1:28" ht="15.75" customHeight="1">
      <c r="A100" s="4" t="s">
        <v>179</v>
      </c>
      <c r="B100" s="4" t="s">
        <v>29</v>
      </c>
      <c r="C100" s="4" t="s">
        <v>159</v>
      </c>
      <c r="D100" s="4" t="s">
        <v>31</v>
      </c>
      <c r="E100" s="4" t="s">
        <v>78</v>
      </c>
      <c r="F100" s="4" t="s">
        <v>89</v>
      </c>
      <c r="G100" s="4" t="s">
        <v>41</v>
      </c>
      <c r="H100" s="4" t="s">
        <v>34</v>
      </c>
      <c r="I100" s="4">
        <v>7</v>
      </c>
      <c r="J100" s="4">
        <v>5</v>
      </c>
      <c r="K100" s="4">
        <v>4.2</v>
      </c>
      <c r="L100" s="4">
        <v>4.5999999999999996</v>
      </c>
      <c r="M100" s="4">
        <v>50</v>
      </c>
      <c r="N100" s="4">
        <v>60</v>
      </c>
      <c r="O100" s="4" t="s">
        <v>35</v>
      </c>
      <c r="P100" s="4">
        <v>10</v>
      </c>
      <c r="Q100" s="4">
        <v>8</v>
      </c>
      <c r="R100" s="4">
        <v>9</v>
      </c>
      <c r="S100" s="4">
        <v>10</v>
      </c>
      <c r="T100" s="4" t="s">
        <v>49</v>
      </c>
      <c r="U100" s="4">
        <v>8</v>
      </c>
      <c r="V100" s="4">
        <v>9</v>
      </c>
      <c r="W100" s="4">
        <v>12</v>
      </c>
      <c r="X100" s="4">
        <v>5.25</v>
      </c>
      <c r="Y100" s="4">
        <v>-4.5999999999999996</v>
      </c>
      <c r="Z100" s="4">
        <v>5.8</v>
      </c>
      <c r="AA100" s="4" t="s">
        <v>86</v>
      </c>
      <c r="AB100" s="4" t="s">
        <v>87</v>
      </c>
    </row>
    <row r="101" spans="1:28" ht="15.75" customHeight="1">
      <c r="A101" s="4" t="s">
        <v>180</v>
      </c>
      <c r="B101" s="4" t="s">
        <v>29</v>
      </c>
      <c r="C101" s="4" t="s">
        <v>159</v>
      </c>
      <c r="D101" s="4" t="s">
        <v>31</v>
      </c>
      <c r="E101" s="4" t="s">
        <v>91</v>
      </c>
      <c r="F101" s="4" t="s">
        <v>92</v>
      </c>
      <c r="G101" s="4" t="s">
        <v>34</v>
      </c>
      <c r="H101" s="4" t="s">
        <v>41</v>
      </c>
      <c r="I101" s="4">
        <v>10</v>
      </c>
      <c r="J101" s="4">
        <v>10</v>
      </c>
      <c r="K101" s="4">
        <v>4.0999999999999996</v>
      </c>
      <c r="L101" s="4">
        <v>4.5999999999999996</v>
      </c>
      <c r="M101" s="4">
        <v>50</v>
      </c>
      <c r="N101" s="4">
        <v>60</v>
      </c>
      <c r="O101" s="4" t="s">
        <v>35</v>
      </c>
      <c r="P101" s="4">
        <v>9</v>
      </c>
      <c r="Q101" s="4">
        <v>10</v>
      </c>
      <c r="R101" s="4">
        <v>8</v>
      </c>
      <c r="S101" s="4">
        <v>7</v>
      </c>
      <c r="T101" s="4" t="s">
        <v>36</v>
      </c>
      <c r="U101" s="4">
        <v>6</v>
      </c>
      <c r="V101" s="4">
        <v>7</v>
      </c>
      <c r="W101" s="4">
        <v>12</v>
      </c>
      <c r="X101" s="4">
        <v>0</v>
      </c>
      <c r="Y101" s="4">
        <v>5.5</v>
      </c>
      <c r="Z101" s="4">
        <v>5</v>
      </c>
      <c r="AA101" s="4" t="s">
        <v>61</v>
      </c>
      <c r="AB101" s="4" t="s">
        <v>42</v>
      </c>
    </row>
    <row r="102" spans="1:28" ht="15.75" customHeight="1">
      <c r="A102" s="4" t="s">
        <v>181</v>
      </c>
      <c r="B102" s="4" t="s">
        <v>29</v>
      </c>
      <c r="C102" s="4" t="s">
        <v>159</v>
      </c>
      <c r="D102" s="4" t="s">
        <v>31</v>
      </c>
      <c r="E102" s="4" t="s">
        <v>91</v>
      </c>
      <c r="F102" s="4" t="s">
        <v>94</v>
      </c>
      <c r="G102" s="4" t="s">
        <v>41</v>
      </c>
      <c r="H102" s="4" t="s">
        <v>41</v>
      </c>
      <c r="I102" s="4">
        <v>9</v>
      </c>
      <c r="J102" s="4">
        <v>6</v>
      </c>
      <c r="K102" s="4">
        <v>4.8</v>
      </c>
      <c r="L102" s="4">
        <v>4.5999999999999996</v>
      </c>
      <c r="M102" s="4">
        <v>50</v>
      </c>
      <c r="N102" s="4">
        <v>60</v>
      </c>
      <c r="O102" s="4" t="s">
        <v>35</v>
      </c>
      <c r="P102" s="4">
        <v>6</v>
      </c>
      <c r="Q102" s="4">
        <v>9</v>
      </c>
      <c r="R102" s="4">
        <v>10</v>
      </c>
      <c r="S102" s="4">
        <v>9</v>
      </c>
      <c r="T102" s="4" t="s">
        <v>36</v>
      </c>
      <c r="U102" s="4">
        <v>4</v>
      </c>
      <c r="V102" s="4">
        <v>9</v>
      </c>
      <c r="W102" s="4">
        <v>12</v>
      </c>
      <c r="X102" s="4">
        <v>0</v>
      </c>
      <c r="Y102" s="4">
        <v>0.2</v>
      </c>
      <c r="Z102" s="4">
        <v>7.2</v>
      </c>
      <c r="AA102" s="4" t="s">
        <v>61</v>
      </c>
      <c r="AB102" s="4" t="s">
        <v>38</v>
      </c>
    </row>
    <row r="103" spans="1:28" ht="15.75" customHeight="1">
      <c r="A103" s="4" t="s">
        <v>182</v>
      </c>
      <c r="B103" s="4" t="s">
        <v>29</v>
      </c>
      <c r="C103" s="4" t="s">
        <v>159</v>
      </c>
      <c r="D103" s="4" t="s">
        <v>31</v>
      </c>
      <c r="E103" s="4" t="s">
        <v>91</v>
      </c>
      <c r="F103" s="4" t="s">
        <v>96</v>
      </c>
      <c r="G103" s="4" t="s">
        <v>34</v>
      </c>
      <c r="H103" s="4" t="s">
        <v>34</v>
      </c>
      <c r="I103" s="4">
        <v>7</v>
      </c>
      <c r="J103" s="4">
        <v>5</v>
      </c>
      <c r="K103" s="4">
        <v>4.9000000000000004</v>
      </c>
      <c r="L103" s="4">
        <v>4.5999999999999996</v>
      </c>
      <c r="M103" s="4">
        <v>50</v>
      </c>
      <c r="N103" s="4">
        <v>60</v>
      </c>
      <c r="O103" s="4" t="s">
        <v>35</v>
      </c>
      <c r="P103" s="4">
        <v>9</v>
      </c>
      <c r="Q103" s="4">
        <v>7</v>
      </c>
      <c r="R103" s="4">
        <v>7</v>
      </c>
      <c r="S103" s="4">
        <v>7</v>
      </c>
      <c r="T103" s="4" t="s">
        <v>36</v>
      </c>
      <c r="U103" s="4">
        <v>4</v>
      </c>
      <c r="V103" s="4">
        <v>8</v>
      </c>
      <c r="W103" s="4">
        <v>12</v>
      </c>
      <c r="X103" s="4">
        <v>0</v>
      </c>
      <c r="Y103" s="4">
        <v>0.3</v>
      </c>
      <c r="Z103" s="4">
        <v>2.9</v>
      </c>
      <c r="AA103" s="4" t="s">
        <v>37</v>
      </c>
      <c r="AB103" s="4" t="s">
        <v>38</v>
      </c>
    </row>
    <row r="104" spans="1:28" ht="15.75" customHeight="1">
      <c r="A104" s="4" t="s">
        <v>183</v>
      </c>
      <c r="B104" s="4" t="s">
        <v>29</v>
      </c>
      <c r="C104" s="4" t="s">
        <v>159</v>
      </c>
      <c r="D104" s="4" t="s">
        <v>31</v>
      </c>
      <c r="E104" s="4" t="s">
        <v>91</v>
      </c>
      <c r="F104" s="4" t="s">
        <v>98</v>
      </c>
      <c r="G104" s="4" t="s">
        <v>34</v>
      </c>
      <c r="H104" s="4" t="s">
        <v>34</v>
      </c>
      <c r="I104" s="4">
        <v>9</v>
      </c>
      <c r="J104" s="4">
        <v>9</v>
      </c>
      <c r="K104" s="4">
        <v>4.2</v>
      </c>
      <c r="L104" s="4">
        <v>4.5999999999999996</v>
      </c>
      <c r="M104" s="4">
        <v>50</v>
      </c>
      <c r="N104" s="4">
        <v>60</v>
      </c>
      <c r="O104" s="4" t="s">
        <v>35</v>
      </c>
      <c r="P104" s="4">
        <v>10</v>
      </c>
      <c r="Q104" s="4">
        <v>8</v>
      </c>
      <c r="R104" s="4">
        <v>10</v>
      </c>
      <c r="S104" s="4">
        <v>8</v>
      </c>
      <c r="T104" s="4" t="s">
        <v>36</v>
      </c>
      <c r="U104" s="4">
        <v>5</v>
      </c>
      <c r="V104" s="4">
        <v>8</v>
      </c>
      <c r="W104" s="4">
        <v>12</v>
      </c>
      <c r="X104" s="4">
        <v>0</v>
      </c>
      <c r="Y104" s="4">
        <v>-0.4</v>
      </c>
      <c r="Z104" s="4">
        <v>4.5</v>
      </c>
      <c r="AA104" s="4" t="s">
        <v>37</v>
      </c>
      <c r="AB104" s="4" t="s">
        <v>38</v>
      </c>
    </row>
    <row r="105" spans="1:28" ht="15.75" customHeight="1">
      <c r="A105" s="4" t="s">
        <v>184</v>
      </c>
      <c r="B105" s="4" t="s">
        <v>29</v>
      </c>
      <c r="C105" s="4" t="s">
        <v>159</v>
      </c>
      <c r="D105" s="4" t="s">
        <v>31</v>
      </c>
      <c r="E105" s="4" t="s">
        <v>91</v>
      </c>
      <c r="F105" s="4" t="s">
        <v>100</v>
      </c>
      <c r="G105" s="4" t="s">
        <v>34</v>
      </c>
      <c r="H105" s="4" t="s">
        <v>45</v>
      </c>
      <c r="I105" s="4">
        <v>10</v>
      </c>
      <c r="J105" s="4">
        <v>5</v>
      </c>
      <c r="K105" s="4">
        <v>4.2</v>
      </c>
      <c r="L105" s="4">
        <v>4.5999999999999996</v>
      </c>
      <c r="M105" s="4">
        <v>50</v>
      </c>
      <c r="N105" s="4">
        <v>60</v>
      </c>
      <c r="O105" s="4" t="s">
        <v>35</v>
      </c>
      <c r="P105" s="4">
        <v>7</v>
      </c>
      <c r="Q105" s="4">
        <v>8</v>
      </c>
      <c r="R105" s="4">
        <v>10</v>
      </c>
      <c r="S105" s="4">
        <v>9</v>
      </c>
      <c r="T105" s="4" t="s">
        <v>36</v>
      </c>
      <c r="U105" s="4">
        <v>5</v>
      </c>
      <c r="V105" s="4">
        <v>6</v>
      </c>
      <c r="W105" s="4">
        <v>12</v>
      </c>
      <c r="X105" s="4">
        <v>0</v>
      </c>
      <c r="Y105" s="4">
        <v>11.6</v>
      </c>
      <c r="Z105" s="4">
        <v>3.5</v>
      </c>
      <c r="AA105" s="4" t="s">
        <v>37</v>
      </c>
      <c r="AB105" s="4" t="s">
        <v>46</v>
      </c>
    </row>
    <row r="106" spans="1:28" ht="15.75" customHeight="1">
      <c r="A106" s="4" t="s">
        <v>185</v>
      </c>
      <c r="B106" s="4" t="s">
        <v>29</v>
      </c>
      <c r="C106" s="4" t="s">
        <v>186</v>
      </c>
      <c r="D106" s="4" t="s">
        <v>187</v>
      </c>
      <c r="E106" s="4" t="s">
        <v>32</v>
      </c>
      <c r="F106" s="4" t="s">
        <v>33</v>
      </c>
      <c r="G106" s="4" t="s">
        <v>34</v>
      </c>
      <c r="H106" s="4" t="s">
        <v>34</v>
      </c>
      <c r="I106" s="4">
        <v>6</v>
      </c>
      <c r="J106" s="4">
        <v>5</v>
      </c>
      <c r="K106" s="4">
        <v>4.3</v>
      </c>
      <c r="L106" s="4">
        <v>3.8</v>
      </c>
      <c r="M106" s="4">
        <v>50</v>
      </c>
      <c r="N106" s="4">
        <v>30</v>
      </c>
      <c r="O106" s="4" t="s">
        <v>188</v>
      </c>
      <c r="P106" s="4">
        <v>7</v>
      </c>
      <c r="Q106" s="4">
        <v>9</v>
      </c>
      <c r="R106" s="4">
        <v>6</v>
      </c>
      <c r="S106" s="4">
        <v>8</v>
      </c>
      <c r="T106" s="4" t="s">
        <v>49</v>
      </c>
      <c r="U106" s="4">
        <v>5</v>
      </c>
      <c r="V106" s="4">
        <v>9</v>
      </c>
      <c r="W106" s="4">
        <v>8.5</v>
      </c>
      <c r="X106" s="4">
        <v>0</v>
      </c>
      <c r="Y106" s="4">
        <v>0.5</v>
      </c>
      <c r="Z106" s="4">
        <v>2.7</v>
      </c>
      <c r="AA106" s="4" t="s">
        <v>37</v>
      </c>
      <c r="AB106" s="4" t="s">
        <v>38</v>
      </c>
    </row>
    <row r="107" spans="1:28" ht="15.75" customHeight="1">
      <c r="A107" s="4" t="s">
        <v>189</v>
      </c>
      <c r="B107" s="4" t="s">
        <v>29</v>
      </c>
      <c r="C107" s="4" t="s">
        <v>186</v>
      </c>
      <c r="D107" s="4" t="s">
        <v>187</v>
      </c>
      <c r="E107" s="4" t="s">
        <v>32</v>
      </c>
      <c r="F107" s="4" t="s">
        <v>40</v>
      </c>
      <c r="G107" s="4" t="s">
        <v>34</v>
      </c>
      <c r="H107" s="4" t="s">
        <v>45</v>
      </c>
      <c r="I107" s="4">
        <v>6</v>
      </c>
      <c r="J107" s="4">
        <v>5</v>
      </c>
      <c r="K107" s="4">
        <v>4.4000000000000004</v>
      </c>
      <c r="L107" s="4">
        <v>3.8</v>
      </c>
      <c r="M107" s="4">
        <v>50</v>
      </c>
      <c r="N107" s="4">
        <v>30</v>
      </c>
      <c r="O107" s="4" t="s">
        <v>188</v>
      </c>
      <c r="P107" s="4">
        <v>8</v>
      </c>
      <c r="Q107" s="4">
        <v>7</v>
      </c>
      <c r="R107" s="4">
        <v>9</v>
      </c>
      <c r="S107" s="4">
        <v>8</v>
      </c>
      <c r="T107" s="4" t="s">
        <v>36</v>
      </c>
      <c r="U107" s="4">
        <v>4</v>
      </c>
      <c r="V107" s="4">
        <v>8</v>
      </c>
      <c r="W107" s="4">
        <v>8.5</v>
      </c>
      <c r="X107" s="4">
        <v>0</v>
      </c>
      <c r="Y107" s="4">
        <v>7.8</v>
      </c>
      <c r="Z107" s="4">
        <v>2.7</v>
      </c>
      <c r="AA107" s="4" t="s">
        <v>37</v>
      </c>
      <c r="AB107" s="4" t="s">
        <v>46</v>
      </c>
    </row>
    <row r="108" spans="1:28" ht="15.75" customHeight="1">
      <c r="A108" s="4" t="s">
        <v>190</v>
      </c>
      <c r="B108" s="4" t="s">
        <v>29</v>
      </c>
      <c r="C108" s="4" t="s">
        <v>186</v>
      </c>
      <c r="D108" s="4" t="s">
        <v>187</v>
      </c>
      <c r="E108" s="4" t="s">
        <v>32</v>
      </c>
      <c r="F108" s="4" t="s">
        <v>44</v>
      </c>
      <c r="G108" s="4" t="s">
        <v>41</v>
      </c>
      <c r="H108" s="4" t="s">
        <v>45</v>
      </c>
      <c r="I108" s="4">
        <v>8</v>
      </c>
      <c r="J108" s="4">
        <v>5</v>
      </c>
      <c r="K108" s="4">
        <v>4.0999999999999996</v>
      </c>
      <c r="L108" s="4">
        <v>3.8</v>
      </c>
      <c r="M108" s="4">
        <v>50</v>
      </c>
      <c r="N108" s="4">
        <v>30</v>
      </c>
      <c r="O108" s="4" t="s">
        <v>188</v>
      </c>
      <c r="P108" s="4">
        <v>9</v>
      </c>
      <c r="Q108" s="4">
        <v>10</v>
      </c>
      <c r="R108" s="4">
        <v>9</v>
      </c>
      <c r="S108" s="4">
        <v>7</v>
      </c>
      <c r="T108" s="4" t="s">
        <v>36</v>
      </c>
      <c r="U108" s="4">
        <v>7</v>
      </c>
      <c r="V108" s="4">
        <v>6</v>
      </c>
      <c r="W108" s="4">
        <v>8.5</v>
      </c>
      <c r="X108" s="4">
        <v>0</v>
      </c>
      <c r="Y108" s="4">
        <v>5.0999999999999996</v>
      </c>
      <c r="Z108" s="4">
        <v>6.2</v>
      </c>
      <c r="AA108" s="4" t="s">
        <v>61</v>
      </c>
      <c r="AB108" s="4" t="s">
        <v>38</v>
      </c>
    </row>
    <row r="109" spans="1:28" ht="15.75" customHeight="1">
      <c r="A109" s="4" t="s">
        <v>191</v>
      </c>
      <c r="B109" s="4" t="s">
        <v>29</v>
      </c>
      <c r="C109" s="4" t="s">
        <v>186</v>
      </c>
      <c r="D109" s="4" t="s">
        <v>187</v>
      </c>
      <c r="E109" s="4" t="s">
        <v>32</v>
      </c>
      <c r="F109" s="4" t="s">
        <v>48</v>
      </c>
      <c r="G109" s="4" t="s">
        <v>34</v>
      </c>
      <c r="H109" s="4" t="s">
        <v>41</v>
      </c>
      <c r="I109" s="4">
        <v>7</v>
      </c>
      <c r="J109" s="4">
        <v>9</v>
      </c>
      <c r="K109" s="4">
        <v>4.0999999999999996</v>
      </c>
      <c r="L109" s="4">
        <v>3.8</v>
      </c>
      <c r="M109" s="4">
        <v>50</v>
      </c>
      <c r="N109" s="4">
        <v>30</v>
      </c>
      <c r="O109" s="4" t="s">
        <v>188</v>
      </c>
      <c r="P109" s="4">
        <v>7</v>
      </c>
      <c r="Q109" s="4">
        <v>9</v>
      </c>
      <c r="R109" s="4">
        <v>10</v>
      </c>
      <c r="S109" s="4">
        <v>9</v>
      </c>
      <c r="T109" s="4" t="s">
        <v>49</v>
      </c>
      <c r="U109" s="4">
        <v>8</v>
      </c>
      <c r="V109" s="4">
        <v>8</v>
      </c>
      <c r="W109" s="4">
        <v>8.5</v>
      </c>
      <c r="X109" s="4">
        <v>0</v>
      </c>
      <c r="Y109" s="4">
        <v>4.5</v>
      </c>
      <c r="Z109" s="4">
        <v>4.0999999999999996</v>
      </c>
      <c r="AA109" s="4" t="s">
        <v>37</v>
      </c>
      <c r="AB109" s="4" t="s">
        <v>42</v>
      </c>
    </row>
    <row r="110" spans="1:28" ht="15.75" customHeight="1">
      <c r="A110" s="4" t="s">
        <v>192</v>
      </c>
      <c r="B110" s="4" t="s">
        <v>29</v>
      </c>
      <c r="C110" s="4" t="s">
        <v>186</v>
      </c>
      <c r="D110" s="4" t="s">
        <v>187</v>
      </c>
      <c r="E110" s="4" t="s">
        <v>32</v>
      </c>
      <c r="F110" s="4" t="s">
        <v>51</v>
      </c>
      <c r="G110" s="4" t="s">
        <v>41</v>
      </c>
      <c r="H110" s="4" t="s">
        <v>45</v>
      </c>
      <c r="I110" s="4">
        <v>7</v>
      </c>
      <c r="J110" s="4">
        <v>9</v>
      </c>
      <c r="K110" s="4">
        <v>4.4000000000000004</v>
      </c>
      <c r="L110" s="4">
        <v>3.8</v>
      </c>
      <c r="M110" s="4">
        <v>50</v>
      </c>
      <c r="N110" s="4">
        <v>30</v>
      </c>
      <c r="O110" s="4" t="s">
        <v>188</v>
      </c>
      <c r="P110" s="4">
        <v>6</v>
      </c>
      <c r="Q110" s="4">
        <v>8</v>
      </c>
      <c r="R110" s="4">
        <v>9</v>
      </c>
      <c r="S110" s="4">
        <v>10</v>
      </c>
      <c r="T110" s="4" t="s">
        <v>36</v>
      </c>
      <c r="U110" s="4">
        <v>7</v>
      </c>
      <c r="V110" s="4">
        <v>8</v>
      </c>
      <c r="W110" s="4">
        <v>8.5</v>
      </c>
      <c r="X110" s="4">
        <v>0</v>
      </c>
      <c r="Y110" s="4">
        <v>4.8</v>
      </c>
      <c r="Z110" s="4">
        <v>8.1999999999999993</v>
      </c>
      <c r="AA110" s="4" t="s">
        <v>61</v>
      </c>
      <c r="AB110" s="4" t="s">
        <v>38</v>
      </c>
    </row>
    <row r="111" spans="1:28" ht="15.75" customHeight="1">
      <c r="A111" s="4" t="s">
        <v>193</v>
      </c>
      <c r="B111" s="4" t="s">
        <v>29</v>
      </c>
      <c r="C111" s="4" t="s">
        <v>186</v>
      </c>
      <c r="D111" s="4" t="s">
        <v>187</v>
      </c>
      <c r="E111" s="4" t="s">
        <v>32</v>
      </c>
      <c r="F111" s="4" t="s">
        <v>53</v>
      </c>
      <c r="G111" s="4" t="s">
        <v>41</v>
      </c>
      <c r="H111" s="4" t="s">
        <v>41</v>
      </c>
      <c r="I111" s="4">
        <v>7</v>
      </c>
      <c r="J111" s="4">
        <v>8</v>
      </c>
      <c r="K111" s="4">
        <v>4.7</v>
      </c>
      <c r="L111" s="4">
        <v>3.8</v>
      </c>
      <c r="M111" s="4">
        <v>50</v>
      </c>
      <c r="N111" s="4">
        <v>30</v>
      </c>
      <c r="O111" s="4" t="s">
        <v>188</v>
      </c>
      <c r="P111" s="4">
        <v>8</v>
      </c>
      <c r="Q111" s="4">
        <v>10</v>
      </c>
      <c r="R111" s="4">
        <v>8</v>
      </c>
      <c r="S111" s="4">
        <v>9</v>
      </c>
      <c r="T111" s="4" t="s">
        <v>49</v>
      </c>
      <c r="U111" s="4">
        <v>5</v>
      </c>
      <c r="V111" s="4">
        <v>9</v>
      </c>
      <c r="W111" s="4">
        <v>8.5</v>
      </c>
      <c r="X111" s="4">
        <v>0</v>
      </c>
      <c r="Y111" s="4">
        <v>0.9</v>
      </c>
      <c r="Z111" s="4">
        <v>7.6</v>
      </c>
      <c r="AA111" s="4" t="s">
        <v>61</v>
      </c>
      <c r="AB111" s="4" t="s">
        <v>38</v>
      </c>
    </row>
    <row r="112" spans="1:28" ht="15.75" customHeight="1">
      <c r="A112" s="4" t="s">
        <v>194</v>
      </c>
      <c r="B112" s="4" t="s">
        <v>29</v>
      </c>
      <c r="C112" s="4" t="s">
        <v>186</v>
      </c>
      <c r="D112" s="4" t="s">
        <v>187</v>
      </c>
      <c r="E112" s="4" t="s">
        <v>55</v>
      </c>
      <c r="F112" s="4" t="s">
        <v>56</v>
      </c>
      <c r="G112" s="4" t="s">
        <v>34</v>
      </c>
      <c r="H112" s="4" t="s">
        <v>34</v>
      </c>
      <c r="I112" s="4">
        <v>6</v>
      </c>
      <c r="J112" s="4">
        <v>5</v>
      </c>
      <c r="K112" s="4">
        <v>4.0999999999999996</v>
      </c>
      <c r="L112" s="4">
        <v>3.8</v>
      </c>
      <c r="M112" s="4">
        <v>50</v>
      </c>
      <c r="N112" s="4">
        <v>30</v>
      </c>
      <c r="O112" s="4" t="s">
        <v>188</v>
      </c>
      <c r="P112" s="4">
        <v>6</v>
      </c>
      <c r="Q112" s="4">
        <v>9</v>
      </c>
      <c r="R112" s="4">
        <v>7</v>
      </c>
      <c r="S112" s="4">
        <v>7</v>
      </c>
      <c r="T112" s="4" t="s">
        <v>36</v>
      </c>
      <c r="U112" s="4">
        <v>9</v>
      </c>
      <c r="V112" s="4">
        <v>6</v>
      </c>
      <c r="W112" s="4">
        <v>8.5</v>
      </c>
      <c r="X112" s="4">
        <v>0</v>
      </c>
      <c r="Y112" s="4">
        <v>0.3</v>
      </c>
      <c r="Z112" s="4">
        <v>2.7</v>
      </c>
      <c r="AA112" s="4" t="s">
        <v>37</v>
      </c>
      <c r="AB112" s="4" t="s">
        <v>38</v>
      </c>
    </row>
    <row r="113" spans="1:28" ht="15.75" customHeight="1">
      <c r="A113" s="4" t="s">
        <v>195</v>
      </c>
      <c r="B113" s="4" t="s">
        <v>29</v>
      </c>
      <c r="C113" s="4" t="s">
        <v>186</v>
      </c>
      <c r="D113" s="4" t="s">
        <v>187</v>
      </c>
      <c r="E113" s="4" t="s">
        <v>55</v>
      </c>
      <c r="F113" s="4" t="s">
        <v>58</v>
      </c>
      <c r="G113" s="4" t="s">
        <v>41</v>
      </c>
      <c r="H113" s="4" t="s">
        <v>41</v>
      </c>
      <c r="I113" s="4">
        <v>10</v>
      </c>
      <c r="J113" s="4">
        <v>10</v>
      </c>
      <c r="K113" s="4">
        <v>4.8</v>
      </c>
      <c r="L113" s="4">
        <v>3.8</v>
      </c>
      <c r="M113" s="4">
        <v>50</v>
      </c>
      <c r="N113" s="4">
        <v>30</v>
      </c>
      <c r="O113" s="4" t="s">
        <v>188</v>
      </c>
      <c r="P113" s="4">
        <v>9</v>
      </c>
      <c r="Q113" s="4">
        <v>7</v>
      </c>
      <c r="R113" s="4">
        <v>8</v>
      </c>
      <c r="S113" s="4">
        <v>9</v>
      </c>
      <c r="T113" s="4" t="s">
        <v>49</v>
      </c>
      <c r="U113" s="4">
        <v>8</v>
      </c>
      <c r="V113" s="4">
        <v>7</v>
      </c>
      <c r="W113" s="4">
        <v>8.5</v>
      </c>
      <c r="X113" s="4">
        <v>0</v>
      </c>
      <c r="Y113" s="4">
        <v>1</v>
      </c>
      <c r="Z113" s="4">
        <v>10</v>
      </c>
      <c r="AA113" s="4" t="s">
        <v>86</v>
      </c>
      <c r="AB113" s="4" t="s">
        <v>38</v>
      </c>
    </row>
    <row r="114" spans="1:28" ht="15.75" customHeight="1">
      <c r="A114" s="4" t="s">
        <v>196</v>
      </c>
      <c r="B114" s="4" t="s">
        <v>29</v>
      </c>
      <c r="C114" s="4" t="s">
        <v>186</v>
      </c>
      <c r="D114" s="4" t="s">
        <v>187</v>
      </c>
      <c r="E114" s="4" t="s">
        <v>55</v>
      </c>
      <c r="F114" s="4" t="s">
        <v>60</v>
      </c>
      <c r="G114" s="4" t="s">
        <v>41</v>
      </c>
      <c r="H114" s="4" t="s">
        <v>34</v>
      </c>
      <c r="I114" s="4">
        <v>6</v>
      </c>
      <c r="J114" s="4">
        <v>5</v>
      </c>
      <c r="K114" s="4">
        <v>4.3</v>
      </c>
      <c r="L114" s="4">
        <v>3.8</v>
      </c>
      <c r="M114" s="4">
        <v>50</v>
      </c>
      <c r="N114" s="4">
        <v>30</v>
      </c>
      <c r="O114" s="4" t="s">
        <v>188</v>
      </c>
      <c r="P114" s="4">
        <v>10</v>
      </c>
      <c r="Q114" s="4">
        <v>9</v>
      </c>
      <c r="R114" s="4">
        <v>6</v>
      </c>
      <c r="S114" s="4">
        <v>9</v>
      </c>
      <c r="T114" s="4" t="s">
        <v>36</v>
      </c>
      <c r="U114" s="4">
        <v>10</v>
      </c>
      <c r="V114" s="4">
        <v>6</v>
      </c>
      <c r="W114" s="4">
        <v>8.5</v>
      </c>
      <c r="X114" s="4">
        <v>4.5</v>
      </c>
      <c r="Y114" s="4">
        <v>-3.1</v>
      </c>
      <c r="Z114" s="4">
        <v>5.4</v>
      </c>
      <c r="AA114" s="4" t="s">
        <v>61</v>
      </c>
      <c r="AB114" s="4" t="s">
        <v>87</v>
      </c>
    </row>
    <row r="115" spans="1:28" ht="15.75" customHeight="1">
      <c r="A115" s="4" t="s">
        <v>197</v>
      </c>
      <c r="B115" s="4" t="s">
        <v>29</v>
      </c>
      <c r="C115" s="4" t="s">
        <v>186</v>
      </c>
      <c r="D115" s="4" t="s">
        <v>187</v>
      </c>
      <c r="E115" s="4" t="s">
        <v>55</v>
      </c>
      <c r="F115" s="4" t="s">
        <v>63</v>
      </c>
      <c r="G115" s="4" t="s">
        <v>34</v>
      </c>
      <c r="H115" s="4" t="s">
        <v>34</v>
      </c>
      <c r="I115" s="4">
        <v>10</v>
      </c>
      <c r="J115" s="4">
        <v>6</v>
      </c>
      <c r="K115" s="4">
        <v>4.2</v>
      </c>
      <c r="L115" s="4">
        <v>3.8</v>
      </c>
      <c r="M115" s="4">
        <v>50</v>
      </c>
      <c r="N115" s="4">
        <v>30</v>
      </c>
      <c r="O115" s="4" t="s">
        <v>188</v>
      </c>
      <c r="P115" s="4">
        <v>8</v>
      </c>
      <c r="Q115" s="4">
        <v>9</v>
      </c>
      <c r="R115" s="4">
        <v>8</v>
      </c>
      <c r="S115" s="4">
        <v>7</v>
      </c>
      <c r="T115" s="4" t="s">
        <v>49</v>
      </c>
      <c r="U115" s="4">
        <v>8</v>
      </c>
      <c r="V115" s="4">
        <v>9</v>
      </c>
      <c r="W115" s="4">
        <v>8.5</v>
      </c>
      <c r="X115" s="4">
        <v>0</v>
      </c>
      <c r="Y115" s="4">
        <v>0.4</v>
      </c>
      <c r="Z115" s="4">
        <v>3.8</v>
      </c>
      <c r="AA115" s="4" t="s">
        <v>37</v>
      </c>
      <c r="AB115" s="4" t="s">
        <v>38</v>
      </c>
    </row>
    <row r="116" spans="1:28" ht="15.75" customHeight="1">
      <c r="A116" s="4" t="s">
        <v>198</v>
      </c>
      <c r="B116" s="4" t="s">
        <v>29</v>
      </c>
      <c r="C116" s="4" t="s">
        <v>186</v>
      </c>
      <c r="D116" s="4" t="s">
        <v>187</v>
      </c>
      <c r="E116" s="4" t="s">
        <v>55</v>
      </c>
      <c r="F116" s="4" t="s">
        <v>65</v>
      </c>
      <c r="G116" s="4" t="s">
        <v>34</v>
      </c>
      <c r="H116" s="4" t="s">
        <v>34</v>
      </c>
      <c r="I116" s="4">
        <v>9</v>
      </c>
      <c r="J116" s="4">
        <v>10</v>
      </c>
      <c r="K116" s="4">
        <v>4.5999999999999996</v>
      </c>
      <c r="L116" s="4">
        <v>3.8</v>
      </c>
      <c r="M116" s="4">
        <v>50</v>
      </c>
      <c r="N116" s="4">
        <v>30</v>
      </c>
      <c r="O116" s="4" t="s">
        <v>188</v>
      </c>
      <c r="P116" s="4">
        <v>6</v>
      </c>
      <c r="Q116" s="4">
        <v>7</v>
      </c>
      <c r="R116" s="4">
        <v>10</v>
      </c>
      <c r="S116" s="4">
        <v>8</v>
      </c>
      <c r="T116" s="4" t="s">
        <v>49</v>
      </c>
      <c r="U116" s="4">
        <v>10</v>
      </c>
      <c r="V116" s="4">
        <v>8</v>
      </c>
      <c r="W116" s="4">
        <v>8.5</v>
      </c>
      <c r="X116" s="4">
        <v>0</v>
      </c>
      <c r="Y116" s="4">
        <v>0.8</v>
      </c>
      <c r="Z116" s="4">
        <v>4.8</v>
      </c>
      <c r="AA116" s="4" t="s">
        <v>37</v>
      </c>
      <c r="AB116" s="4" t="s">
        <v>38</v>
      </c>
    </row>
    <row r="117" spans="1:28" ht="15.75" customHeight="1">
      <c r="A117" s="4" t="s">
        <v>199</v>
      </c>
      <c r="B117" s="4" t="s">
        <v>29</v>
      </c>
      <c r="C117" s="4" t="s">
        <v>186</v>
      </c>
      <c r="D117" s="4" t="s">
        <v>187</v>
      </c>
      <c r="E117" s="4" t="s">
        <v>67</v>
      </c>
      <c r="F117" s="4" t="s">
        <v>68</v>
      </c>
      <c r="G117" s="4" t="s">
        <v>34</v>
      </c>
      <c r="H117" s="4" t="s">
        <v>41</v>
      </c>
      <c r="I117" s="4">
        <v>6</v>
      </c>
      <c r="J117" s="4">
        <v>7</v>
      </c>
      <c r="K117" s="4">
        <v>4.5999999999999996</v>
      </c>
      <c r="L117" s="4">
        <v>3.8</v>
      </c>
      <c r="M117" s="4">
        <v>50</v>
      </c>
      <c r="N117" s="4">
        <v>30</v>
      </c>
      <c r="O117" s="4" t="s">
        <v>188</v>
      </c>
      <c r="P117" s="4">
        <v>10</v>
      </c>
      <c r="Q117" s="4">
        <v>7</v>
      </c>
      <c r="R117" s="4">
        <v>6</v>
      </c>
      <c r="S117" s="4">
        <v>8</v>
      </c>
      <c r="T117" s="4" t="s">
        <v>49</v>
      </c>
      <c r="U117" s="4">
        <v>8</v>
      </c>
      <c r="V117" s="4">
        <v>6</v>
      </c>
      <c r="W117" s="4">
        <v>8.5</v>
      </c>
      <c r="X117" s="4">
        <v>0</v>
      </c>
      <c r="Y117" s="4">
        <v>4.4000000000000004</v>
      </c>
      <c r="Z117" s="4">
        <v>3.3</v>
      </c>
      <c r="AA117" s="4" t="s">
        <v>37</v>
      </c>
      <c r="AB117" s="4" t="s">
        <v>42</v>
      </c>
    </row>
    <row r="118" spans="1:28" ht="15.75" customHeight="1">
      <c r="A118" s="4" t="s">
        <v>200</v>
      </c>
      <c r="B118" s="4" t="s">
        <v>29</v>
      </c>
      <c r="C118" s="4" t="s">
        <v>186</v>
      </c>
      <c r="D118" s="4" t="s">
        <v>187</v>
      </c>
      <c r="E118" s="4" t="s">
        <v>67</v>
      </c>
      <c r="F118" s="4" t="s">
        <v>70</v>
      </c>
      <c r="G118" s="4" t="s">
        <v>34</v>
      </c>
      <c r="H118" s="4" t="s">
        <v>41</v>
      </c>
      <c r="I118" s="4">
        <v>6</v>
      </c>
      <c r="J118" s="4">
        <v>8</v>
      </c>
      <c r="K118" s="4">
        <v>4.5999999999999996</v>
      </c>
      <c r="L118" s="4">
        <v>3.8</v>
      </c>
      <c r="M118" s="4">
        <v>50</v>
      </c>
      <c r="N118" s="4">
        <v>30</v>
      </c>
      <c r="O118" s="4" t="s">
        <v>188</v>
      </c>
      <c r="P118" s="4">
        <v>9</v>
      </c>
      <c r="Q118" s="4">
        <v>10</v>
      </c>
      <c r="R118" s="4">
        <v>9</v>
      </c>
      <c r="S118" s="4">
        <v>9</v>
      </c>
      <c r="T118" s="4" t="s">
        <v>49</v>
      </c>
      <c r="U118" s="4">
        <v>8</v>
      </c>
      <c r="V118" s="4">
        <v>6</v>
      </c>
      <c r="W118" s="4">
        <v>8.5</v>
      </c>
      <c r="X118" s="4">
        <v>0</v>
      </c>
      <c r="Y118" s="4">
        <v>4.4000000000000004</v>
      </c>
      <c r="Z118" s="4">
        <v>3.6</v>
      </c>
      <c r="AA118" s="4" t="s">
        <v>37</v>
      </c>
      <c r="AB118" s="4" t="s">
        <v>42</v>
      </c>
    </row>
    <row r="119" spans="1:28" ht="15.75" customHeight="1">
      <c r="A119" s="4" t="s">
        <v>201</v>
      </c>
      <c r="B119" s="4" t="s">
        <v>29</v>
      </c>
      <c r="C119" s="4" t="s">
        <v>186</v>
      </c>
      <c r="D119" s="4" t="s">
        <v>187</v>
      </c>
      <c r="E119" s="4" t="s">
        <v>67</v>
      </c>
      <c r="F119" s="4" t="s">
        <v>72</v>
      </c>
      <c r="G119" s="4" t="s">
        <v>34</v>
      </c>
      <c r="H119" s="4" t="s">
        <v>41</v>
      </c>
      <c r="I119" s="4">
        <v>6</v>
      </c>
      <c r="J119" s="4">
        <v>5</v>
      </c>
      <c r="K119" s="4">
        <v>4.3</v>
      </c>
      <c r="L119" s="4">
        <v>3.8</v>
      </c>
      <c r="M119" s="4">
        <v>50</v>
      </c>
      <c r="N119" s="4">
        <v>30</v>
      </c>
      <c r="O119" s="4" t="s">
        <v>188</v>
      </c>
      <c r="P119" s="4">
        <v>10</v>
      </c>
      <c r="Q119" s="4">
        <v>10</v>
      </c>
      <c r="R119" s="4">
        <v>10</v>
      </c>
      <c r="S119" s="4">
        <v>9</v>
      </c>
      <c r="T119" s="4" t="s">
        <v>49</v>
      </c>
      <c r="U119" s="4">
        <v>7</v>
      </c>
      <c r="V119" s="4">
        <v>6</v>
      </c>
      <c r="W119" s="4">
        <v>8.5</v>
      </c>
      <c r="X119" s="4">
        <v>0</v>
      </c>
      <c r="Y119" s="4">
        <v>4.0999999999999996</v>
      </c>
      <c r="Z119" s="4">
        <v>2.7</v>
      </c>
      <c r="AA119" s="4" t="s">
        <v>37</v>
      </c>
      <c r="AB119" s="4" t="s">
        <v>42</v>
      </c>
    </row>
    <row r="120" spans="1:28" ht="15.75" customHeight="1">
      <c r="A120" s="4" t="s">
        <v>202</v>
      </c>
      <c r="B120" s="4" t="s">
        <v>29</v>
      </c>
      <c r="C120" s="4" t="s">
        <v>186</v>
      </c>
      <c r="D120" s="4" t="s">
        <v>187</v>
      </c>
      <c r="E120" s="4" t="s">
        <v>67</v>
      </c>
      <c r="F120" s="4" t="s">
        <v>74</v>
      </c>
      <c r="G120" s="4" t="s">
        <v>34</v>
      </c>
      <c r="H120" s="4" t="s">
        <v>34</v>
      </c>
      <c r="I120" s="4">
        <v>7</v>
      </c>
      <c r="J120" s="4">
        <v>7</v>
      </c>
      <c r="K120" s="4">
        <v>4.9000000000000004</v>
      </c>
      <c r="L120" s="4">
        <v>3.8</v>
      </c>
      <c r="M120" s="4">
        <v>50</v>
      </c>
      <c r="N120" s="4">
        <v>30</v>
      </c>
      <c r="O120" s="4" t="s">
        <v>188</v>
      </c>
      <c r="P120" s="4">
        <v>7</v>
      </c>
      <c r="Q120" s="4">
        <v>9</v>
      </c>
      <c r="R120" s="4">
        <v>8</v>
      </c>
      <c r="S120" s="4">
        <v>9</v>
      </c>
      <c r="T120" s="4" t="s">
        <v>49</v>
      </c>
      <c r="U120" s="4">
        <v>7</v>
      </c>
      <c r="V120" s="4">
        <v>9</v>
      </c>
      <c r="W120" s="4">
        <v>8.5</v>
      </c>
      <c r="X120" s="4">
        <v>0</v>
      </c>
      <c r="Y120" s="4">
        <v>1.1000000000000001</v>
      </c>
      <c r="Z120" s="4">
        <v>3.5</v>
      </c>
      <c r="AA120" s="4" t="s">
        <v>37</v>
      </c>
      <c r="AB120" s="4" t="s">
        <v>38</v>
      </c>
    </row>
    <row r="121" spans="1:28" ht="15.75" customHeight="1">
      <c r="A121" s="4" t="s">
        <v>203</v>
      </c>
      <c r="B121" s="4" t="s">
        <v>29</v>
      </c>
      <c r="C121" s="4" t="s">
        <v>186</v>
      </c>
      <c r="D121" s="4" t="s">
        <v>187</v>
      </c>
      <c r="E121" s="4" t="s">
        <v>67</v>
      </c>
      <c r="F121" s="4" t="s">
        <v>76</v>
      </c>
      <c r="G121" s="4" t="s">
        <v>34</v>
      </c>
      <c r="H121" s="4" t="s">
        <v>34</v>
      </c>
      <c r="I121" s="4">
        <v>7</v>
      </c>
      <c r="J121" s="4">
        <v>8</v>
      </c>
      <c r="K121" s="4">
        <v>4.5</v>
      </c>
      <c r="L121" s="4">
        <v>3.8</v>
      </c>
      <c r="M121" s="4">
        <v>50</v>
      </c>
      <c r="N121" s="4">
        <v>30</v>
      </c>
      <c r="O121" s="4" t="s">
        <v>188</v>
      </c>
      <c r="P121" s="4">
        <v>7</v>
      </c>
      <c r="Q121" s="4">
        <v>9</v>
      </c>
      <c r="R121" s="4">
        <v>6</v>
      </c>
      <c r="S121" s="4">
        <v>10</v>
      </c>
      <c r="T121" s="4" t="s">
        <v>36</v>
      </c>
      <c r="U121" s="4">
        <v>4</v>
      </c>
      <c r="V121" s="4">
        <v>9</v>
      </c>
      <c r="W121" s="4">
        <v>8.5</v>
      </c>
      <c r="X121" s="4">
        <v>0</v>
      </c>
      <c r="Y121" s="4">
        <v>0.7</v>
      </c>
      <c r="Z121" s="4">
        <v>3.8</v>
      </c>
      <c r="AA121" s="4" t="s">
        <v>37</v>
      </c>
      <c r="AB121" s="4" t="s">
        <v>38</v>
      </c>
    </row>
    <row r="122" spans="1:28" ht="15.75" customHeight="1">
      <c r="A122" s="4" t="s">
        <v>204</v>
      </c>
      <c r="B122" s="4" t="s">
        <v>29</v>
      </c>
      <c r="C122" s="4" t="s">
        <v>186</v>
      </c>
      <c r="D122" s="4" t="s">
        <v>187</v>
      </c>
      <c r="E122" s="4" t="s">
        <v>78</v>
      </c>
      <c r="F122" s="4" t="s">
        <v>79</v>
      </c>
      <c r="G122" s="4" t="s">
        <v>34</v>
      </c>
      <c r="H122" s="4" t="s">
        <v>41</v>
      </c>
      <c r="I122" s="4">
        <v>10</v>
      </c>
      <c r="J122" s="4">
        <v>5</v>
      </c>
      <c r="K122" s="4">
        <v>4.8</v>
      </c>
      <c r="L122" s="4">
        <v>3.8</v>
      </c>
      <c r="M122" s="4">
        <v>50</v>
      </c>
      <c r="N122" s="4">
        <v>30</v>
      </c>
      <c r="O122" s="4" t="s">
        <v>188</v>
      </c>
      <c r="P122" s="4">
        <v>10</v>
      </c>
      <c r="Q122" s="4">
        <v>10</v>
      </c>
      <c r="R122" s="4">
        <v>10</v>
      </c>
      <c r="S122" s="4">
        <v>10</v>
      </c>
      <c r="T122" s="4" t="s">
        <v>36</v>
      </c>
      <c r="U122" s="4">
        <v>7</v>
      </c>
      <c r="V122" s="4">
        <v>9</v>
      </c>
      <c r="W122" s="4">
        <v>8.5</v>
      </c>
      <c r="X122" s="4">
        <v>0</v>
      </c>
      <c r="Y122" s="4">
        <v>7</v>
      </c>
      <c r="Z122" s="4">
        <v>3.5</v>
      </c>
      <c r="AA122" s="4" t="s">
        <v>37</v>
      </c>
      <c r="AB122" s="4" t="s">
        <v>42</v>
      </c>
    </row>
    <row r="123" spans="1:28" ht="15.75" customHeight="1">
      <c r="A123" s="4" t="s">
        <v>205</v>
      </c>
      <c r="B123" s="4" t="s">
        <v>29</v>
      </c>
      <c r="C123" s="4" t="s">
        <v>186</v>
      </c>
      <c r="D123" s="4" t="s">
        <v>187</v>
      </c>
      <c r="E123" s="4" t="s">
        <v>78</v>
      </c>
      <c r="F123" s="4" t="s">
        <v>81</v>
      </c>
      <c r="G123" s="4" t="s">
        <v>34</v>
      </c>
      <c r="H123" s="4" t="s">
        <v>41</v>
      </c>
      <c r="I123" s="4">
        <v>10</v>
      </c>
      <c r="J123" s="4">
        <v>5</v>
      </c>
      <c r="K123" s="4">
        <v>4.9000000000000004</v>
      </c>
      <c r="L123" s="4">
        <v>3.8</v>
      </c>
      <c r="M123" s="4">
        <v>50</v>
      </c>
      <c r="N123" s="4">
        <v>30</v>
      </c>
      <c r="O123" s="4" t="s">
        <v>188</v>
      </c>
      <c r="P123" s="4">
        <v>7</v>
      </c>
      <c r="Q123" s="4">
        <v>10</v>
      </c>
      <c r="R123" s="4">
        <v>8</v>
      </c>
      <c r="S123" s="4">
        <v>7</v>
      </c>
      <c r="T123" s="4" t="s">
        <v>36</v>
      </c>
      <c r="U123" s="4">
        <v>4</v>
      </c>
      <c r="V123" s="4">
        <v>8</v>
      </c>
      <c r="W123" s="4">
        <v>8.5</v>
      </c>
      <c r="X123" s="4">
        <v>0</v>
      </c>
      <c r="Y123" s="4">
        <v>7.1</v>
      </c>
      <c r="Z123" s="4">
        <v>3.5</v>
      </c>
      <c r="AA123" s="4" t="s">
        <v>37</v>
      </c>
      <c r="AB123" s="4" t="s">
        <v>42</v>
      </c>
    </row>
    <row r="124" spans="1:28" ht="15.75" customHeight="1">
      <c r="A124" s="4" t="s">
        <v>206</v>
      </c>
      <c r="B124" s="4" t="s">
        <v>29</v>
      </c>
      <c r="C124" s="4" t="s">
        <v>186</v>
      </c>
      <c r="D124" s="4" t="s">
        <v>187</v>
      </c>
      <c r="E124" s="4" t="s">
        <v>78</v>
      </c>
      <c r="F124" s="4" t="s">
        <v>83</v>
      </c>
      <c r="G124" s="4" t="s">
        <v>41</v>
      </c>
      <c r="H124" s="4" t="s">
        <v>45</v>
      </c>
      <c r="I124" s="4">
        <v>6</v>
      </c>
      <c r="J124" s="4">
        <v>8</v>
      </c>
      <c r="K124" s="4">
        <v>4.5</v>
      </c>
      <c r="L124" s="4">
        <v>3.8</v>
      </c>
      <c r="M124" s="4">
        <v>50</v>
      </c>
      <c r="N124" s="4">
        <v>30</v>
      </c>
      <c r="O124" s="4" t="s">
        <v>188</v>
      </c>
      <c r="P124" s="4">
        <v>9</v>
      </c>
      <c r="Q124" s="4">
        <v>9</v>
      </c>
      <c r="R124" s="4">
        <v>8</v>
      </c>
      <c r="S124" s="4">
        <v>8</v>
      </c>
      <c r="T124" s="4" t="s">
        <v>49</v>
      </c>
      <c r="U124" s="4">
        <v>5</v>
      </c>
      <c r="V124" s="4">
        <v>8</v>
      </c>
      <c r="W124" s="4">
        <v>8.5</v>
      </c>
      <c r="X124" s="4">
        <v>0</v>
      </c>
      <c r="Y124" s="4">
        <v>4.3</v>
      </c>
      <c r="Z124" s="4">
        <v>7.2</v>
      </c>
      <c r="AA124" s="4" t="s">
        <v>61</v>
      </c>
      <c r="AB124" s="4" t="s">
        <v>38</v>
      </c>
    </row>
    <row r="125" spans="1:28" ht="15.75" customHeight="1">
      <c r="A125" s="4" t="s">
        <v>207</v>
      </c>
      <c r="B125" s="4" t="s">
        <v>29</v>
      </c>
      <c r="C125" s="4" t="s">
        <v>186</v>
      </c>
      <c r="D125" s="4" t="s">
        <v>187</v>
      </c>
      <c r="E125" s="4" t="s">
        <v>78</v>
      </c>
      <c r="F125" s="4" t="s">
        <v>85</v>
      </c>
      <c r="G125" s="4" t="s">
        <v>34</v>
      </c>
      <c r="H125" s="4" t="s">
        <v>45</v>
      </c>
      <c r="I125" s="4">
        <v>10</v>
      </c>
      <c r="J125" s="4">
        <v>9</v>
      </c>
      <c r="K125" s="4">
        <v>4.2</v>
      </c>
      <c r="L125" s="4">
        <v>3.8</v>
      </c>
      <c r="M125" s="4">
        <v>50</v>
      </c>
      <c r="N125" s="4">
        <v>30</v>
      </c>
      <c r="O125" s="4" t="s">
        <v>188</v>
      </c>
      <c r="P125" s="4">
        <v>8</v>
      </c>
      <c r="Q125" s="4">
        <v>9</v>
      </c>
      <c r="R125" s="4">
        <v>7</v>
      </c>
      <c r="S125" s="4">
        <v>8</v>
      </c>
      <c r="T125" s="4" t="s">
        <v>49</v>
      </c>
      <c r="U125" s="4">
        <v>6</v>
      </c>
      <c r="V125" s="4">
        <v>8</v>
      </c>
      <c r="W125" s="4">
        <v>8.5</v>
      </c>
      <c r="X125" s="4">
        <v>0</v>
      </c>
      <c r="Y125" s="4">
        <v>12.4</v>
      </c>
      <c r="Z125" s="4">
        <v>4.7</v>
      </c>
      <c r="AA125" s="4" t="s">
        <v>37</v>
      </c>
      <c r="AB125" s="4" t="s">
        <v>46</v>
      </c>
    </row>
    <row r="126" spans="1:28" ht="15.75" customHeight="1">
      <c r="A126" s="4" t="s">
        <v>208</v>
      </c>
      <c r="B126" s="4" t="s">
        <v>29</v>
      </c>
      <c r="C126" s="4" t="s">
        <v>186</v>
      </c>
      <c r="D126" s="4" t="s">
        <v>187</v>
      </c>
      <c r="E126" s="4" t="s">
        <v>78</v>
      </c>
      <c r="F126" s="4" t="s">
        <v>89</v>
      </c>
      <c r="G126" s="4" t="s">
        <v>34</v>
      </c>
      <c r="H126" s="4" t="s">
        <v>45</v>
      </c>
      <c r="I126" s="4">
        <v>7</v>
      </c>
      <c r="J126" s="4">
        <v>6</v>
      </c>
      <c r="K126" s="4">
        <v>4.7</v>
      </c>
      <c r="L126" s="4">
        <v>3.8</v>
      </c>
      <c r="M126" s="4">
        <v>50</v>
      </c>
      <c r="N126" s="4">
        <v>30</v>
      </c>
      <c r="O126" s="4" t="s">
        <v>188</v>
      </c>
      <c r="P126" s="4">
        <v>6</v>
      </c>
      <c r="Q126" s="4">
        <v>8</v>
      </c>
      <c r="R126" s="4">
        <v>9</v>
      </c>
      <c r="S126" s="4">
        <v>10</v>
      </c>
      <c r="T126" s="4" t="s">
        <v>36</v>
      </c>
      <c r="U126" s="4">
        <v>8</v>
      </c>
      <c r="V126" s="4">
        <v>9</v>
      </c>
      <c r="W126" s="4">
        <v>8.5</v>
      </c>
      <c r="X126" s="4">
        <v>0</v>
      </c>
      <c r="Y126" s="4">
        <v>9.3000000000000007</v>
      </c>
      <c r="Z126" s="4">
        <v>3.2</v>
      </c>
      <c r="AA126" s="4" t="s">
        <v>37</v>
      </c>
      <c r="AB126" s="4" t="s">
        <v>46</v>
      </c>
    </row>
    <row r="127" spans="1:28" ht="15.75" customHeight="1">
      <c r="A127" s="4" t="s">
        <v>209</v>
      </c>
      <c r="B127" s="4" t="s">
        <v>29</v>
      </c>
      <c r="C127" s="4" t="s">
        <v>186</v>
      </c>
      <c r="D127" s="4" t="s">
        <v>187</v>
      </c>
      <c r="E127" s="4" t="s">
        <v>91</v>
      </c>
      <c r="F127" s="4" t="s">
        <v>92</v>
      </c>
      <c r="G127" s="4" t="s">
        <v>34</v>
      </c>
      <c r="H127" s="4" t="s">
        <v>45</v>
      </c>
      <c r="I127" s="4">
        <v>10</v>
      </c>
      <c r="J127" s="4">
        <v>7</v>
      </c>
      <c r="K127" s="4">
        <v>4.0999999999999996</v>
      </c>
      <c r="L127" s="4">
        <v>3.8</v>
      </c>
      <c r="M127" s="4">
        <v>50</v>
      </c>
      <c r="N127" s="4">
        <v>30</v>
      </c>
      <c r="O127" s="4" t="s">
        <v>188</v>
      </c>
      <c r="P127" s="4">
        <v>6</v>
      </c>
      <c r="Q127" s="4">
        <v>10</v>
      </c>
      <c r="R127" s="4">
        <v>9</v>
      </c>
      <c r="S127" s="4">
        <v>9</v>
      </c>
      <c r="T127" s="4" t="s">
        <v>36</v>
      </c>
      <c r="U127" s="4">
        <v>6</v>
      </c>
      <c r="V127" s="4">
        <v>6</v>
      </c>
      <c r="W127" s="4">
        <v>8.5</v>
      </c>
      <c r="X127" s="4">
        <v>0</v>
      </c>
      <c r="Y127" s="4">
        <v>12.3</v>
      </c>
      <c r="Z127" s="4">
        <v>4.0999999999999996</v>
      </c>
      <c r="AA127" s="4" t="s">
        <v>37</v>
      </c>
      <c r="AB127" s="4" t="s">
        <v>46</v>
      </c>
    </row>
    <row r="128" spans="1:28" ht="15.75" customHeight="1">
      <c r="A128" s="4" t="s">
        <v>210</v>
      </c>
      <c r="B128" s="4" t="s">
        <v>29</v>
      </c>
      <c r="C128" s="4" t="s">
        <v>186</v>
      </c>
      <c r="D128" s="4" t="s">
        <v>187</v>
      </c>
      <c r="E128" s="4" t="s">
        <v>91</v>
      </c>
      <c r="F128" s="4" t="s">
        <v>94</v>
      </c>
      <c r="G128" s="4" t="s">
        <v>34</v>
      </c>
      <c r="H128" s="4" t="s">
        <v>45</v>
      </c>
      <c r="I128" s="4">
        <v>9</v>
      </c>
      <c r="J128" s="4">
        <v>5</v>
      </c>
      <c r="K128" s="4">
        <v>4.3</v>
      </c>
      <c r="L128" s="4">
        <v>3.8</v>
      </c>
      <c r="M128" s="4">
        <v>50</v>
      </c>
      <c r="N128" s="4">
        <v>30</v>
      </c>
      <c r="O128" s="4" t="s">
        <v>188</v>
      </c>
      <c r="P128" s="4">
        <v>9</v>
      </c>
      <c r="Q128" s="4">
        <v>7</v>
      </c>
      <c r="R128" s="4">
        <v>6</v>
      </c>
      <c r="S128" s="4">
        <v>9</v>
      </c>
      <c r="T128" s="4" t="s">
        <v>36</v>
      </c>
      <c r="U128" s="4">
        <v>6</v>
      </c>
      <c r="V128" s="4">
        <v>6</v>
      </c>
      <c r="W128" s="4">
        <v>8.5</v>
      </c>
      <c r="X128" s="4">
        <v>0</v>
      </c>
      <c r="Y128" s="4">
        <v>11.3</v>
      </c>
      <c r="Z128" s="4">
        <v>3.3</v>
      </c>
      <c r="AA128" s="4" t="s">
        <v>37</v>
      </c>
      <c r="AB128" s="4" t="s">
        <v>46</v>
      </c>
    </row>
    <row r="129" spans="1:28" ht="15.75" customHeight="1">
      <c r="A129" s="4" t="s">
        <v>211</v>
      </c>
      <c r="B129" s="4" t="s">
        <v>29</v>
      </c>
      <c r="C129" s="4" t="s">
        <v>186</v>
      </c>
      <c r="D129" s="4" t="s">
        <v>187</v>
      </c>
      <c r="E129" s="4" t="s">
        <v>91</v>
      </c>
      <c r="F129" s="4" t="s">
        <v>96</v>
      </c>
      <c r="G129" s="4" t="s">
        <v>34</v>
      </c>
      <c r="H129" s="4" t="s">
        <v>45</v>
      </c>
      <c r="I129" s="4">
        <v>7</v>
      </c>
      <c r="J129" s="4">
        <v>9</v>
      </c>
      <c r="K129" s="4">
        <v>4.5</v>
      </c>
      <c r="L129" s="4">
        <v>3.8</v>
      </c>
      <c r="M129" s="4">
        <v>50</v>
      </c>
      <c r="N129" s="4">
        <v>30</v>
      </c>
      <c r="O129" s="4" t="s">
        <v>188</v>
      </c>
      <c r="P129" s="4">
        <v>9</v>
      </c>
      <c r="Q129" s="4">
        <v>7</v>
      </c>
      <c r="R129" s="4">
        <v>9</v>
      </c>
      <c r="S129" s="4">
        <v>8</v>
      </c>
      <c r="T129" s="4" t="s">
        <v>36</v>
      </c>
      <c r="U129" s="4">
        <v>6</v>
      </c>
      <c r="V129" s="4">
        <v>9</v>
      </c>
      <c r="W129" s="4">
        <v>8.5</v>
      </c>
      <c r="X129" s="4">
        <v>0</v>
      </c>
      <c r="Y129" s="4">
        <v>9.1</v>
      </c>
      <c r="Z129" s="4">
        <v>4.0999999999999996</v>
      </c>
      <c r="AA129" s="4" t="s">
        <v>37</v>
      </c>
      <c r="AB129" s="4" t="s">
        <v>46</v>
      </c>
    </row>
    <row r="130" spans="1:28" ht="15.75" customHeight="1">
      <c r="A130" s="4" t="s">
        <v>212</v>
      </c>
      <c r="B130" s="4" t="s">
        <v>29</v>
      </c>
      <c r="C130" s="4" t="s">
        <v>186</v>
      </c>
      <c r="D130" s="4" t="s">
        <v>187</v>
      </c>
      <c r="E130" s="4" t="s">
        <v>91</v>
      </c>
      <c r="F130" s="4" t="s">
        <v>98</v>
      </c>
      <c r="G130" s="4" t="s">
        <v>34</v>
      </c>
      <c r="H130" s="4" t="s">
        <v>34</v>
      </c>
      <c r="I130" s="4">
        <v>9</v>
      </c>
      <c r="J130" s="4">
        <v>8</v>
      </c>
      <c r="K130" s="4">
        <v>4.0999999999999996</v>
      </c>
      <c r="L130" s="4">
        <v>3.8</v>
      </c>
      <c r="M130" s="4">
        <v>50</v>
      </c>
      <c r="N130" s="4">
        <v>30</v>
      </c>
      <c r="O130" s="4" t="s">
        <v>188</v>
      </c>
      <c r="P130" s="4">
        <v>8</v>
      </c>
      <c r="Q130" s="4">
        <v>7</v>
      </c>
      <c r="R130" s="4">
        <v>10</v>
      </c>
      <c r="S130" s="4">
        <v>8</v>
      </c>
      <c r="T130" s="4" t="s">
        <v>36</v>
      </c>
      <c r="U130" s="4">
        <v>4</v>
      </c>
      <c r="V130" s="4">
        <v>7</v>
      </c>
      <c r="W130" s="4">
        <v>8.5</v>
      </c>
      <c r="X130" s="4">
        <v>0</v>
      </c>
      <c r="Y130" s="4">
        <v>0.3</v>
      </c>
      <c r="Z130" s="4">
        <v>4.2</v>
      </c>
      <c r="AA130" s="4" t="s">
        <v>37</v>
      </c>
      <c r="AB130" s="4" t="s">
        <v>38</v>
      </c>
    </row>
    <row r="131" spans="1:28" ht="15.75" customHeight="1">
      <c r="A131" s="4" t="s">
        <v>213</v>
      </c>
      <c r="B131" s="4" t="s">
        <v>29</v>
      </c>
      <c r="C131" s="4" t="s">
        <v>186</v>
      </c>
      <c r="D131" s="4" t="s">
        <v>187</v>
      </c>
      <c r="E131" s="4" t="s">
        <v>91</v>
      </c>
      <c r="F131" s="4" t="s">
        <v>100</v>
      </c>
      <c r="G131" s="4" t="s">
        <v>41</v>
      </c>
      <c r="H131" s="4" t="s">
        <v>41</v>
      </c>
      <c r="I131" s="4">
        <v>10</v>
      </c>
      <c r="J131" s="4">
        <v>9</v>
      </c>
      <c r="K131" s="4">
        <v>4.5</v>
      </c>
      <c r="L131" s="4">
        <v>3.8</v>
      </c>
      <c r="M131" s="4">
        <v>50</v>
      </c>
      <c r="N131" s="4">
        <v>30</v>
      </c>
      <c r="O131" s="4" t="s">
        <v>188</v>
      </c>
      <c r="P131" s="4">
        <v>7</v>
      </c>
      <c r="Q131" s="4">
        <v>9</v>
      </c>
      <c r="R131" s="4">
        <v>8</v>
      </c>
      <c r="S131" s="4">
        <v>9</v>
      </c>
      <c r="T131" s="4" t="s">
        <v>36</v>
      </c>
      <c r="U131" s="4">
        <v>7</v>
      </c>
      <c r="V131" s="4">
        <v>9</v>
      </c>
      <c r="W131" s="4">
        <v>8.5</v>
      </c>
      <c r="X131" s="4">
        <v>0</v>
      </c>
      <c r="Y131" s="4">
        <v>0.7</v>
      </c>
      <c r="Z131" s="4">
        <v>9.4</v>
      </c>
      <c r="AA131" s="4" t="s">
        <v>86</v>
      </c>
      <c r="AB131" s="4" t="s">
        <v>38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selection sqref="A1:C1"/>
    </sheetView>
  </sheetViews>
  <sheetFormatPr defaultColWidth="12.6328125" defaultRowHeight="15" customHeight="1"/>
  <cols>
    <col min="1" max="1" width="27.08984375" style="3" customWidth="1"/>
    <col min="2" max="2" width="31.453125" style="3" customWidth="1"/>
    <col min="3" max="3" width="23.6328125" style="3" customWidth="1"/>
    <col min="4" max="11" width="7.6328125" style="3" customWidth="1"/>
    <col min="12" max="16384" width="12.6328125" style="3"/>
  </cols>
  <sheetData>
    <row r="1" spans="1:3" ht="14.5">
      <c r="A1" s="8" t="s">
        <v>4</v>
      </c>
      <c r="B1" s="8" t="s">
        <v>5</v>
      </c>
      <c r="C1" s="8" t="s">
        <v>8</v>
      </c>
    </row>
    <row r="2" spans="1:3" ht="14.5">
      <c r="A2" s="4" t="s">
        <v>32</v>
      </c>
      <c r="B2" s="4" t="s">
        <v>33</v>
      </c>
      <c r="C2" s="4">
        <v>6</v>
      </c>
    </row>
    <row r="3" spans="1:3" ht="14.5">
      <c r="A3" s="4" t="s">
        <v>32</v>
      </c>
      <c r="B3" s="4" t="s">
        <v>40</v>
      </c>
      <c r="C3" s="4">
        <v>6</v>
      </c>
    </row>
    <row r="4" spans="1:3" ht="14.5">
      <c r="A4" s="4" t="s">
        <v>32</v>
      </c>
      <c r="B4" s="4" t="s">
        <v>44</v>
      </c>
      <c r="C4" s="4">
        <v>8</v>
      </c>
    </row>
    <row r="5" spans="1:3" ht="14.5">
      <c r="A5" s="4" t="s">
        <v>32</v>
      </c>
      <c r="B5" s="4" t="s">
        <v>48</v>
      </c>
      <c r="C5" s="4">
        <v>7</v>
      </c>
    </row>
    <row r="6" spans="1:3" ht="14.5">
      <c r="A6" s="4" t="s">
        <v>32</v>
      </c>
      <c r="B6" s="4" t="s">
        <v>51</v>
      </c>
      <c r="C6" s="4">
        <v>7</v>
      </c>
    </row>
    <row r="7" spans="1:3" ht="14.5">
      <c r="A7" s="4" t="s">
        <v>32</v>
      </c>
      <c r="B7" s="4" t="s">
        <v>53</v>
      </c>
      <c r="C7" s="4">
        <v>7</v>
      </c>
    </row>
    <row r="8" spans="1:3" ht="14.5">
      <c r="A8" s="4" t="s">
        <v>55</v>
      </c>
      <c r="B8" s="4" t="s">
        <v>56</v>
      </c>
      <c r="C8" s="4">
        <v>6</v>
      </c>
    </row>
    <row r="9" spans="1:3" ht="14.5">
      <c r="A9" s="4" t="s">
        <v>55</v>
      </c>
      <c r="B9" s="4" t="s">
        <v>58</v>
      </c>
      <c r="C9" s="4">
        <v>10</v>
      </c>
    </row>
    <row r="10" spans="1:3" ht="14.5">
      <c r="A10" s="4" t="s">
        <v>55</v>
      </c>
      <c r="B10" s="4" t="s">
        <v>60</v>
      </c>
      <c r="C10" s="4">
        <v>6</v>
      </c>
    </row>
    <row r="11" spans="1:3" ht="14.5">
      <c r="A11" s="4" t="s">
        <v>55</v>
      </c>
      <c r="B11" s="4" t="s">
        <v>63</v>
      </c>
      <c r="C11" s="4">
        <v>10</v>
      </c>
    </row>
    <row r="12" spans="1:3" ht="14.5">
      <c r="A12" s="4" t="s">
        <v>55</v>
      </c>
      <c r="B12" s="4" t="s">
        <v>65</v>
      </c>
      <c r="C12" s="4">
        <v>9</v>
      </c>
    </row>
    <row r="13" spans="1:3" ht="14.5">
      <c r="A13" s="4" t="s">
        <v>67</v>
      </c>
      <c r="B13" s="4" t="s">
        <v>68</v>
      </c>
      <c r="C13" s="4">
        <v>6</v>
      </c>
    </row>
    <row r="14" spans="1:3" ht="14.5">
      <c r="A14" s="4" t="s">
        <v>67</v>
      </c>
      <c r="B14" s="4" t="s">
        <v>70</v>
      </c>
      <c r="C14" s="4">
        <v>6</v>
      </c>
    </row>
    <row r="15" spans="1:3" ht="14.5">
      <c r="A15" s="4" t="s">
        <v>67</v>
      </c>
      <c r="B15" s="4" t="s">
        <v>72</v>
      </c>
      <c r="C15" s="4">
        <v>6</v>
      </c>
    </row>
    <row r="16" spans="1:3" ht="14.5">
      <c r="A16" s="4" t="s">
        <v>67</v>
      </c>
      <c r="B16" s="4" t="s">
        <v>74</v>
      </c>
      <c r="C16" s="4">
        <v>7</v>
      </c>
    </row>
    <row r="17" spans="1:3" ht="14.5">
      <c r="A17" s="4" t="s">
        <v>67</v>
      </c>
      <c r="B17" s="4" t="s">
        <v>76</v>
      </c>
      <c r="C17" s="4">
        <v>7</v>
      </c>
    </row>
    <row r="18" spans="1:3" ht="14.5">
      <c r="A18" s="4" t="s">
        <v>78</v>
      </c>
      <c r="B18" s="4" t="s">
        <v>79</v>
      </c>
      <c r="C18" s="4">
        <v>10</v>
      </c>
    </row>
    <row r="19" spans="1:3" ht="14.5">
      <c r="A19" s="4" t="s">
        <v>78</v>
      </c>
      <c r="B19" s="4" t="s">
        <v>81</v>
      </c>
      <c r="C19" s="4">
        <v>10</v>
      </c>
    </row>
    <row r="20" spans="1:3" ht="14.5">
      <c r="A20" s="4" t="s">
        <v>78</v>
      </c>
      <c r="B20" s="4" t="s">
        <v>83</v>
      </c>
      <c r="C20" s="4">
        <v>6</v>
      </c>
    </row>
    <row r="21" spans="1:3" ht="15.75" customHeight="1">
      <c r="A21" s="4" t="s">
        <v>78</v>
      </c>
      <c r="B21" s="4" t="s">
        <v>85</v>
      </c>
      <c r="C21" s="4">
        <v>10</v>
      </c>
    </row>
    <row r="22" spans="1:3" ht="15.75" customHeight="1">
      <c r="A22" s="4" t="s">
        <v>78</v>
      </c>
      <c r="B22" s="4" t="s">
        <v>89</v>
      </c>
      <c r="C22" s="4">
        <v>7</v>
      </c>
    </row>
    <row r="23" spans="1:3" ht="15.75" customHeight="1">
      <c r="A23" s="4" t="s">
        <v>91</v>
      </c>
      <c r="B23" s="4" t="s">
        <v>92</v>
      </c>
      <c r="C23" s="4">
        <v>10</v>
      </c>
    </row>
    <row r="24" spans="1:3" ht="15.75" customHeight="1">
      <c r="A24" s="4" t="s">
        <v>91</v>
      </c>
      <c r="B24" s="4" t="s">
        <v>94</v>
      </c>
      <c r="C24" s="4">
        <v>9</v>
      </c>
    </row>
    <row r="25" spans="1:3" ht="15.75" customHeight="1">
      <c r="A25" s="4" t="s">
        <v>91</v>
      </c>
      <c r="B25" s="4" t="s">
        <v>96</v>
      </c>
      <c r="C25" s="4">
        <v>7</v>
      </c>
    </row>
    <row r="26" spans="1:3" ht="15.75" customHeight="1">
      <c r="A26" s="4" t="s">
        <v>91</v>
      </c>
      <c r="B26" s="4" t="s">
        <v>98</v>
      </c>
      <c r="C26" s="4">
        <v>9</v>
      </c>
    </row>
    <row r="27" spans="1:3" ht="15.75" customHeight="1">
      <c r="A27" s="4" t="s">
        <v>91</v>
      </c>
      <c r="B27" s="4" t="s">
        <v>100</v>
      </c>
      <c r="C27" s="4">
        <v>10</v>
      </c>
    </row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selection activeCell="F16" sqref="F16"/>
    </sheetView>
  </sheetViews>
  <sheetFormatPr defaultColWidth="12.6328125" defaultRowHeight="15" customHeight="1"/>
  <cols>
    <col min="1" max="1" width="15.7265625" customWidth="1"/>
    <col min="2" max="2" width="16.6328125" customWidth="1"/>
    <col min="3" max="3" width="14.90625" customWidth="1"/>
    <col min="4" max="4" width="14" customWidth="1"/>
    <col min="5" max="6" width="13.08984375" customWidth="1"/>
    <col min="7" max="7" width="15.7265625" customWidth="1"/>
    <col min="8" max="11" width="7.6328125" customWidth="1"/>
  </cols>
  <sheetData>
    <row r="1" spans="1:7" ht="14.5">
      <c r="A1" s="7" t="s">
        <v>2</v>
      </c>
      <c r="B1" s="7" t="s">
        <v>3</v>
      </c>
      <c r="C1" s="7" t="s">
        <v>14</v>
      </c>
      <c r="D1" s="7" t="s">
        <v>214</v>
      </c>
      <c r="E1" s="7" t="s">
        <v>215</v>
      </c>
      <c r="F1" s="7" t="s">
        <v>216</v>
      </c>
      <c r="G1" s="7" t="s">
        <v>10</v>
      </c>
    </row>
    <row r="2" spans="1:7" ht="14.5">
      <c r="A2" s="6" t="s">
        <v>30</v>
      </c>
      <c r="B2" s="6" t="s">
        <v>31</v>
      </c>
      <c r="C2" s="6" t="s">
        <v>35</v>
      </c>
      <c r="D2" s="6">
        <v>45</v>
      </c>
      <c r="E2" s="6">
        <v>450</v>
      </c>
      <c r="F2" s="6">
        <v>22.5</v>
      </c>
      <c r="G2" s="6">
        <v>4.5</v>
      </c>
    </row>
    <row r="3" spans="1:7" ht="14.5">
      <c r="A3" s="6" t="s">
        <v>102</v>
      </c>
      <c r="B3" s="6" t="s">
        <v>103</v>
      </c>
      <c r="C3" s="6" t="s">
        <v>104</v>
      </c>
      <c r="D3" s="6">
        <v>120</v>
      </c>
      <c r="E3" s="6">
        <v>1200</v>
      </c>
      <c r="F3" s="6">
        <v>18</v>
      </c>
      <c r="G3" s="6">
        <v>4.2</v>
      </c>
    </row>
    <row r="4" spans="1:7" ht="14.5">
      <c r="A4" s="6" t="s">
        <v>131</v>
      </c>
      <c r="B4" s="6" t="s">
        <v>31</v>
      </c>
      <c r="C4" s="6" t="s">
        <v>132</v>
      </c>
      <c r="D4" s="6">
        <v>85</v>
      </c>
      <c r="E4" s="6">
        <v>850</v>
      </c>
      <c r="F4" s="6">
        <v>15.5</v>
      </c>
      <c r="G4" s="6">
        <v>4</v>
      </c>
    </row>
    <row r="5" spans="1:7" ht="14.5">
      <c r="A5" s="6" t="s">
        <v>159</v>
      </c>
      <c r="B5" s="6" t="s">
        <v>31</v>
      </c>
      <c r="C5" s="6" t="s">
        <v>35</v>
      </c>
      <c r="D5" s="6">
        <v>60</v>
      </c>
      <c r="E5" s="6">
        <v>600</v>
      </c>
      <c r="F5" s="6">
        <v>12</v>
      </c>
      <c r="G5" s="6">
        <v>4.5999999999999996</v>
      </c>
    </row>
    <row r="6" spans="1:7" ht="14.5">
      <c r="A6" s="6" t="s">
        <v>186</v>
      </c>
      <c r="B6" s="6" t="s">
        <v>187</v>
      </c>
      <c r="C6" s="6" t="s">
        <v>188</v>
      </c>
      <c r="D6" s="6">
        <v>30</v>
      </c>
      <c r="E6" s="6">
        <v>300</v>
      </c>
      <c r="F6" s="6">
        <v>8.5</v>
      </c>
      <c r="G6" s="6">
        <v>3.8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E6" sqref="E6"/>
    </sheetView>
  </sheetViews>
  <sheetFormatPr defaultColWidth="12.6328125" defaultRowHeight="15" customHeight="1"/>
  <cols>
    <col min="1" max="1" width="26.26953125" style="5" customWidth="1"/>
    <col min="2" max="2" width="79.6328125" style="5" customWidth="1"/>
    <col min="3" max="11" width="7.6328125" style="5" customWidth="1"/>
    <col min="12" max="16384" width="12.6328125" style="5"/>
  </cols>
  <sheetData>
    <row r="1" spans="1:2" ht="14.5">
      <c r="A1" s="11" t="s">
        <v>217</v>
      </c>
      <c r="B1" s="11" t="s">
        <v>218</v>
      </c>
    </row>
    <row r="2" spans="1:2" ht="14.5">
      <c r="A2" s="10" t="s">
        <v>0</v>
      </c>
      <c r="B2" s="10" t="s">
        <v>219</v>
      </c>
    </row>
    <row r="3" spans="1:2" ht="14.5">
      <c r="A3" s="10" t="s">
        <v>1</v>
      </c>
      <c r="B3" s="10" t="s">
        <v>220</v>
      </c>
    </row>
    <row r="4" spans="1:2" ht="14.5">
      <c r="A4" s="10" t="s">
        <v>2</v>
      </c>
      <c r="B4" s="10" t="s">
        <v>221</v>
      </c>
    </row>
    <row r="5" spans="1:2" ht="14.5">
      <c r="A5" s="10" t="s">
        <v>3</v>
      </c>
      <c r="B5" s="10" t="s">
        <v>222</v>
      </c>
    </row>
    <row r="6" spans="1:2" ht="14.5">
      <c r="A6" s="10" t="s">
        <v>4</v>
      </c>
      <c r="B6" s="10" t="s">
        <v>223</v>
      </c>
    </row>
    <row r="7" spans="1:2" ht="14.5">
      <c r="A7" s="10" t="s">
        <v>5</v>
      </c>
      <c r="B7" s="10" t="s">
        <v>224</v>
      </c>
    </row>
    <row r="8" spans="1:2" ht="14.5">
      <c r="A8" s="10" t="s">
        <v>6</v>
      </c>
      <c r="B8" s="10" t="s">
        <v>225</v>
      </c>
    </row>
    <row r="9" spans="1:2" ht="14.5">
      <c r="A9" s="10" t="s">
        <v>7</v>
      </c>
      <c r="B9" s="10" t="s">
        <v>226</v>
      </c>
    </row>
    <row r="10" spans="1:2" ht="14.5">
      <c r="A10" s="10" t="s">
        <v>8</v>
      </c>
      <c r="B10" s="10" t="s">
        <v>227</v>
      </c>
    </row>
    <row r="11" spans="1:2" ht="14.5">
      <c r="A11" s="10" t="s">
        <v>9</v>
      </c>
      <c r="B11" s="10" t="s">
        <v>228</v>
      </c>
    </row>
    <row r="12" spans="1:2" ht="14.5">
      <c r="A12" s="10" t="s">
        <v>10</v>
      </c>
      <c r="B12" s="10" t="s">
        <v>229</v>
      </c>
    </row>
    <row r="13" spans="1:2" ht="14.5">
      <c r="A13" s="10" t="s">
        <v>11</v>
      </c>
      <c r="B13" s="10" t="s">
        <v>230</v>
      </c>
    </row>
    <row r="14" spans="1:2" ht="14.5">
      <c r="A14" s="10" t="s">
        <v>12</v>
      </c>
      <c r="B14" s="10" t="s">
        <v>231</v>
      </c>
    </row>
    <row r="15" spans="1:2" ht="14.5">
      <c r="A15" s="10" t="s">
        <v>13</v>
      </c>
      <c r="B15" s="10" t="s">
        <v>232</v>
      </c>
    </row>
    <row r="16" spans="1:2" ht="14.5">
      <c r="A16" s="10" t="s">
        <v>14</v>
      </c>
      <c r="B16" s="10" t="s">
        <v>233</v>
      </c>
    </row>
    <row r="17" spans="1:2" ht="14.5">
      <c r="A17" s="10" t="s">
        <v>15</v>
      </c>
      <c r="B17" s="10" t="s">
        <v>234</v>
      </c>
    </row>
    <row r="18" spans="1:2" ht="14.5">
      <c r="A18" s="10" t="s">
        <v>16</v>
      </c>
      <c r="B18" s="10" t="s">
        <v>235</v>
      </c>
    </row>
    <row r="19" spans="1:2" ht="14.5">
      <c r="A19" s="10" t="s">
        <v>17</v>
      </c>
      <c r="B19" s="10" t="s">
        <v>236</v>
      </c>
    </row>
    <row r="20" spans="1:2" ht="14.5">
      <c r="A20" s="10" t="s">
        <v>18</v>
      </c>
      <c r="B20" s="10" t="s">
        <v>237</v>
      </c>
    </row>
    <row r="21" spans="1:2" ht="15.75" customHeight="1">
      <c r="A21" s="10" t="s">
        <v>19</v>
      </c>
      <c r="B21" s="10" t="s">
        <v>238</v>
      </c>
    </row>
    <row r="22" spans="1:2" ht="15.75" customHeight="1">
      <c r="A22" s="10" t="s">
        <v>20</v>
      </c>
      <c r="B22" s="10" t="s">
        <v>239</v>
      </c>
    </row>
    <row r="23" spans="1:2" ht="15.75" customHeight="1">
      <c r="A23" s="10" t="s">
        <v>21</v>
      </c>
      <c r="B23" s="10" t="s">
        <v>240</v>
      </c>
    </row>
    <row r="24" spans="1:2" ht="15.75" customHeight="1">
      <c r="A24" s="10" t="s">
        <v>22</v>
      </c>
      <c r="B24" s="10" t="s">
        <v>241</v>
      </c>
    </row>
    <row r="25" spans="1:2" ht="15.75" customHeight="1">
      <c r="A25" s="10" t="s">
        <v>23</v>
      </c>
      <c r="B25" s="10" t="s">
        <v>242</v>
      </c>
    </row>
    <row r="26" spans="1:2" ht="15.75" customHeight="1">
      <c r="A26" s="10" t="s">
        <v>24</v>
      </c>
      <c r="B26" s="10" t="s">
        <v>243</v>
      </c>
    </row>
    <row r="27" spans="1:2" ht="15.75" customHeight="1">
      <c r="A27" s="10" t="s">
        <v>25</v>
      </c>
      <c r="B27" s="10" t="s">
        <v>244</v>
      </c>
    </row>
    <row r="28" spans="1:2" ht="15.75" customHeight="1">
      <c r="A28" s="10" t="s">
        <v>26</v>
      </c>
      <c r="B28" s="10" t="s">
        <v>245</v>
      </c>
    </row>
    <row r="29" spans="1:2" ht="15.75" customHeight="1">
      <c r="A29" s="10" t="s">
        <v>27</v>
      </c>
      <c r="B29" s="10" t="s">
        <v>246</v>
      </c>
    </row>
    <row r="30" spans="1:2" ht="15.75" customHeight="1">
      <c r="A30" s="12"/>
      <c r="B30" s="12"/>
    </row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opLeftCell="B1" zoomScale="85" zoomScaleNormal="85" workbookViewId="0">
      <selection activeCell="G13" sqref="G13"/>
    </sheetView>
  </sheetViews>
  <sheetFormatPr defaultColWidth="12.6328125" defaultRowHeight="15" customHeight="1"/>
  <cols>
    <col min="1" max="1" width="22.7265625" style="3" customWidth="1"/>
    <col min="2" max="2" width="36.7265625" style="3" customWidth="1"/>
    <col min="3" max="4" width="23.6328125" style="3" customWidth="1"/>
    <col min="5" max="5" width="22.7265625" style="3" customWidth="1"/>
    <col min="6" max="6" width="32.08984375" style="3" customWidth="1"/>
    <col min="7" max="7" width="28.08984375" style="3" customWidth="1"/>
    <col min="8" max="11" width="7.6328125" style="3" customWidth="1"/>
    <col min="12" max="16384" width="12.6328125" style="3"/>
  </cols>
  <sheetData>
    <row r="1" spans="1:7" ht="14.5">
      <c r="A1" s="8" t="s">
        <v>0</v>
      </c>
      <c r="B1" s="8" t="s">
        <v>5</v>
      </c>
      <c r="C1" s="8" t="s">
        <v>8</v>
      </c>
      <c r="D1" s="8" t="s">
        <v>6</v>
      </c>
      <c r="E1" s="8" t="s">
        <v>7</v>
      </c>
      <c r="F1" s="8" t="s">
        <v>247</v>
      </c>
      <c r="G1" s="8" t="s">
        <v>248</v>
      </c>
    </row>
    <row r="2" spans="1:7" ht="14.5">
      <c r="A2" s="4" t="str">
        <f>'Benchmarking Data'!A2</f>
        <v>BMK-1001</v>
      </c>
      <c r="B2" s="4" t="str">
        <f>'Benchmarking Data'!F2</f>
        <v>Real-Time Data Streaming</v>
      </c>
      <c r="C2" s="4">
        <f>'Benchmarking Data'!I2</f>
        <v>6</v>
      </c>
      <c r="D2" s="4" t="str">
        <f>'Benchmarking Data'!G2</f>
        <v>Available</v>
      </c>
      <c r="E2" s="4" t="str">
        <f>'Benchmarking Data'!H2</f>
        <v>Available</v>
      </c>
      <c r="F2" s="4">
        <f>IF('Benchmarking Data'!G2="Available", 'Benchmarking Data'!I2, IF('Benchmarking Data'!G2="Yes", 'Benchmarking Data'!I2, IF('Benchmarking Data'!G2="Partial", 0.5*'Benchmarking Data'!I2, 0)))</f>
        <v>6</v>
      </c>
      <c r="G2" s="4">
        <f>IF('Benchmarking Data'!H2="Available", 'Benchmarking Data'!I2, IF('Benchmarking Data'!H2="Yes", 'Benchmarking Data'!I2, IF('Benchmarking Data'!H2="Partial", 0.5*'Benchmarking Data'!I2, 0)))</f>
        <v>6</v>
      </c>
    </row>
    <row r="3" spans="1:7" ht="14.5">
      <c r="A3" s="4" t="str">
        <f>'Benchmarking Data'!A3</f>
        <v>BMK-1002</v>
      </c>
      <c r="B3" s="4" t="str">
        <f>'Benchmarking Data'!F3</f>
        <v>Custom Dashboard Builder</v>
      </c>
      <c r="C3" s="4">
        <f>'Benchmarking Data'!I3</f>
        <v>6</v>
      </c>
      <c r="D3" s="4" t="str">
        <f>'Benchmarking Data'!G3</f>
        <v>Available</v>
      </c>
      <c r="E3" s="4" t="str">
        <f>'Benchmarking Data'!H3</f>
        <v>Partial</v>
      </c>
      <c r="F3" s="4">
        <f>IF('Benchmarking Data'!G3="Available", 'Benchmarking Data'!I3, IF('Benchmarking Data'!G3="Yes", 'Benchmarking Data'!I3, IF('Benchmarking Data'!G3="Partial", 0.5*'Benchmarking Data'!I3, 0)))</f>
        <v>6</v>
      </c>
      <c r="G3" s="4">
        <f>IF('Benchmarking Data'!H3="Available", 'Benchmarking Data'!I3, IF('Benchmarking Data'!H3="Yes", 'Benchmarking Data'!I3, IF('Benchmarking Data'!H3="Partial", 0.5*'Benchmarking Data'!I3, 0)))</f>
        <v>3</v>
      </c>
    </row>
    <row r="4" spans="1:7" ht="14.5">
      <c r="A4" s="4" t="str">
        <f>'Benchmarking Data'!A4</f>
        <v>BMK-1003</v>
      </c>
      <c r="B4" s="4" t="str">
        <f>'Benchmarking Data'!F4</f>
        <v>Ad-Hoc Query Engine</v>
      </c>
      <c r="C4" s="4">
        <f>'Benchmarking Data'!I4</f>
        <v>8</v>
      </c>
      <c r="D4" s="4" t="str">
        <f>'Benchmarking Data'!G4</f>
        <v>Available</v>
      </c>
      <c r="E4" s="4" t="str">
        <f>'Benchmarking Data'!H4</f>
        <v>Not Available</v>
      </c>
      <c r="F4" s="4">
        <f>IF('Benchmarking Data'!G4="Available", 'Benchmarking Data'!I4, IF('Benchmarking Data'!G4="Yes", 'Benchmarking Data'!I4, IF('Benchmarking Data'!G4="Partial", 0.5*'Benchmarking Data'!I4, 0)))</f>
        <v>8</v>
      </c>
      <c r="G4" s="4">
        <f>IF('Benchmarking Data'!H4="Available", 'Benchmarking Data'!I4, IF('Benchmarking Data'!H4="Yes", 'Benchmarking Data'!I4, IF('Benchmarking Data'!H4="Partial", 0.5*'Benchmarking Data'!I4, 0)))</f>
        <v>0</v>
      </c>
    </row>
    <row r="5" spans="1:7" ht="14.5">
      <c r="A5" s="4" t="str">
        <f>'Benchmarking Data'!A5</f>
        <v>BMK-1004</v>
      </c>
      <c r="B5" s="4" t="str">
        <f>'Benchmarking Data'!F5</f>
        <v>Automated PDF Reporting</v>
      </c>
      <c r="C5" s="4">
        <f>'Benchmarking Data'!I5</f>
        <v>7</v>
      </c>
      <c r="D5" s="4" t="str">
        <f>'Benchmarking Data'!G5</f>
        <v>Available</v>
      </c>
      <c r="E5" s="4" t="str">
        <f>'Benchmarking Data'!H5</f>
        <v>Available</v>
      </c>
      <c r="F5" s="4">
        <f>IF('Benchmarking Data'!G5="Available", 'Benchmarking Data'!I5, IF('Benchmarking Data'!G5="Yes", 'Benchmarking Data'!I5, IF('Benchmarking Data'!G5="Partial", 0.5*'Benchmarking Data'!I5, 0)))</f>
        <v>7</v>
      </c>
      <c r="G5" s="4">
        <f>IF('Benchmarking Data'!H5="Available", 'Benchmarking Data'!I5, IF('Benchmarking Data'!H5="Yes", 'Benchmarking Data'!I5, IF('Benchmarking Data'!H5="Partial", 0.5*'Benchmarking Data'!I5, 0)))</f>
        <v>7</v>
      </c>
    </row>
    <row r="6" spans="1:7" ht="14.5">
      <c r="A6" s="4" t="str">
        <f>'Benchmarking Data'!A6</f>
        <v>BMK-1005</v>
      </c>
      <c r="B6" s="4" t="str">
        <f>'Benchmarking Data'!F6</f>
        <v>Data Export (CSV/XLSX/JSON)</v>
      </c>
      <c r="C6" s="4">
        <f>'Benchmarking Data'!I6</f>
        <v>7</v>
      </c>
      <c r="D6" s="4" t="str">
        <f>'Benchmarking Data'!G6</f>
        <v>Available</v>
      </c>
      <c r="E6" s="4" t="str">
        <f>'Benchmarking Data'!H6</f>
        <v>Not Available</v>
      </c>
      <c r="F6" s="4">
        <f>IF('Benchmarking Data'!G6="Available", 'Benchmarking Data'!I6, IF('Benchmarking Data'!G6="Yes", 'Benchmarking Data'!I6, IF('Benchmarking Data'!G6="Partial", 0.5*'Benchmarking Data'!I6, 0)))</f>
        <v>7</v>
      </c>
      <c r="G6" s="4">
        <f>IF('Benchmarking Data'!H6="Available", 'Benchmarking Data'!I6, IF('Benchmarking Data'!H6="Yes", 'Benchmarking Data'!I6, IF('Benchmarking Data'!H6="Partial", 0.5*'Benchmarking Data'!I6, 0)))</f>
        <v>0</v>
      </c>
    </row>
    <row r="7" spans="1:7" ht="14.5">
      <c r="A7" s="4" t="str">
        <f>'Benchmarking Data'!A7</f>
        <v>BMK-1006</v>
      </c>
      <c r="B7" s="4" t="str">
        <f>'Benchmarking Data'!F7</f>
        <v>Interactive Drill-Downs</v>
      </c>
      <c r="C7" s="4">
        <f>'Benchmarking Data'!I7</f>
        <v>7</v>
      </c>
      <c r="D7" s="4" t="str">
        <f>'Benchmarking Data'!G7</f>
        <v>Available</v>
      </c>
      <c r="E7" s="4" t="str">
        <f>'Benchmarking Data'!H7</f>
        <v>Partial</v>
      </c>
      <c r="F7" s="4">
        <f>IF('Benchmarking Data'!G7="Available", 'Benchmarking Data'!I7, IF('Benchmarking Data'!G7="Yes", 'Benchmarking Data'!I7, IF('Benchmarking Data'!G7="Partial", 0.5*'Benchmarking Data'!I7, 0)))</f>
        <v>7</v>
      </c>
      <c r="G7" s="4">
        <f>IF('Benchmarking Data'!H7="Available", 'Benchmarking Data'!I7, IF('Benchmarking Data'!H7="Yes", 'Benchmarking Data'!I7, IF('Benchmarking Data'!H7="Partial", 0.5*'Benchmarking Data'!I7, 0)))</f>
        <v>3.5</v>
      </c>
    </row>
    <row r="8" spans="1:7" ht="14.5">
      <c r="A8" s="4" t="str">
        <f>'Benchmarking Data'!A8</f>
        <v>BMK-1007</v>
      </c>
      <c r="B8" s="4" t="str">
        <f>'Benchmarking Data'!F8</f>
        <v>Predictive Anomaly Detection</v>
      </c>
      <c r="C8" s="4">
        <f>'Benchmarking Data'!I8</f>
        <v>6</v>
      </c>
      <c r="D8" s="4" t="str">
        <f>'Benchmarking Data'!G8</f>
        <v>Available</v>
      </c>
      <c r="E8" s="4" t="str">
        <f>'Benchmarking Data'!H8</f>
        <v>Available</v>
      </c>
      <c r="F8" s="4">
        <f>IF('Benchmarking Data'!G8="Available", 'Benchmarking Data'!I8, IF('Benchmarking Data'!G8="Yes", 'Benchmarking Data'!I8, IF('Benchmarking Data'!G8="Partial", 0.5*'Benchmarking Data'!I8, 0)))</f>
        <v>6</v>
      </c>
      <c r="G8" s="4">
        <f>IF('Benchmarking Data'!H8="Available", 'Benchmarking Data'!I8, IF('Benchmarking Data'!H8="Yes", 'Benchmarking Data'!I8, IF('Benchmarking Data'!H8="Partial", 0.5*'Benchmarking Data'!I8, 0)))</f>
        <v>6</v>
      </c>
    </row>
    <row r="9" spans="1:7" ht="14.5">
      <c r="A9" s="4" t="str">
        <f>'Benchmarking Data'!A9</f>
        <v>BMK-1008</v>
      </c>
      <c r="B9" s="4" t="str">
        <f>'Benchmarking Data'!F9</f>
        <v>Automated Insight Generation</v>
      </c>
      <c r="C9" s="4">
        <f>'Benchmarking Data'!I9</f>
        <v>10</v>
      </c>
      <c r="D9" s="4" t="str">
        <f>'Benchmarking Data'!G9</f>
        <v>Available</v>
      </c>
      <c r="E9" s="4" t="str">
        <f>'Benchmarking Data'!H9</f>
        <v>Available</v>
      </c>
      <c r="F9" s="4">
        <f>IF('Benchmarking Data'!G9="Available", 'Benchmarking Data'!I9, IF('Benchmarking Data'!G9="Yes", 'Benchmarking Data'!I9, IF('Benchmarking Data'!G9="Partial", 0.5*'Benchmarking Data'!I9, 0)))</f>
        <v>10</v>
      </c>
      <c r="G9" s="4">
        <f>IF('Benchmarking Data'!H9="Available", 'Benchmarking Data'!I9, IF('Benchmarking Data'!H9="Yes", 'Benchmarking Data'!I9, IF('Benchmarking Data'!H9="Partial", 0.5*'Benchmarking Data'!I9, 0)))</f>
        <v>10</v>
      </c>
    </row>
    <row r="10" spans="1:7" ht="14.5">
      <c r="A10" s="4" t="str">
        <f>'Benchmarking Data'!A10</f>
        <v>BMK-1009</v>
      </c>
      <c r="B10" s="4" t="str">
        <f>'Benchmarking Data'!F10</f>
        <v>Natural Language Querying (NLQ)</v>
      </c>
      <c r="C10" s="4">
        <f>'Benchmarking Data'!I10</f>
        <v>6</v>
      </c>
      <c r="D10" s="4" t="str">
        <f>'Benchmarking Data'!G10</f>
        <v>Partial</v>
      </c>
      <c r="E10" s="4" t="str">
        <f>'Benchmarking Data'!H10</f>
        <v>Partial</v>
      </c>
      <c r="F10" s="4">
        <f>IF('Benchmarking Data'!G10="Available", 'Benchmarking Data'!I10, IF('Benchmarking Data'!G10="Yes", 'Benchmarking Data'!I10, IF('Benchmarking Data'!G10="Partial", 0.5*'Benchmarking Data'!I10, 0)))</f>
        <v>3</v>
      </c>
      <c r="G10" s="4">
        <f>IF('Benchmarking Data'!H10="Available", 'Benchmarking Data'!I10, IF('Benchmarking Data'!H10="Yes", 'Benchmarking Data'!I10, IF('Benchmarking Data'!H10="Partial", 0.5*'Benchmarking Data'!I10, 0)))</f>
        <v>3</v>
      </c>
    </row>
    <row r="11" spans="1:7" ht="14.5">
      <c r="A11" s="4" t="str">
        <f>'Benchmarking Data'!A11</f>
        <v>BMK-1010</v>
      </c>
      <c r="B11" s="4" t="str">
        <f>'Benchmarking Data'!F11</f>
        <v>Forecasting &amp; Trend Projection</v>
      </c>
      <c r="C11" s="4">
        <f>'Benchmarking Data'!I11</f>
        <v>10</v>
      </c>
      <c r="D11" s="4" t="str">
        <f>'Benchmarking Data'!G11</f>
        <v>Available</v>
      </c>
      <c r="E11" s="4" t="str">
        <f>'Benchmarking Data'!H11</f>
        <v>Available</v>
      </c>
      <c r="F11" s="4">
        <f>IF('Benchmarking Data'!G11="Available", 'Benchmarking Data'!I11, IF('Benchmarking Data'!G11="Yes", 'Benchmarking Data'!I11, IF('Benchmarking Data'!G11="Partial", 0.5*'Benchmarking Data'!I11, 0)))</f>
        <v>10</v>
      </c>
      <c r="G11" s="4">
        <f>IF('Benchmarking Data'!H11="Available", 'Benchmarking Data'!I11, IF('Benchmarking Data'!H11="Yes", 'Benchmarking Data'!I11, IF('Benchmarking Data'!H11="Partial", 0.5*'Benchmarking Data'!I11, 0)))</f>
        <v>10</v>
      </c>
    </row>
    <row r="12" spans="1:7" ht="14.5">
      <c r="A12" s="4" t="str">
        <f>'Benchmarking Data'!A12</f>
        <v>BMK-1011</v>
      </c>
      <c r="B12" s="4" t="str">
        <f>'Benchmarking Data'!F12</f>
        <v>Smart Alerting &amp; Triggers</v>
      </c>
      <c r="C12" s="4">
        <f>'Benchmarking Data'!I12</f>
        <v>9</v>
      </c>
      <c r="D12" s="4" t="str">
        <f>'Benchmarking Data'!G12</f>
        <v>Available</v>
      </c>
      <c r="E12" s="4" t="str">
        <f>'Benchmarking Data'!H12</f>
        <v>Available</v>
      </c>
      <c r="F12" s="4">
        <f>IF('Benchmarking Data'!G12="Available", 'Benchmarking Data'!I12, IF('Benchmarking Data'!G12="Yes", 'Benchmarking Data'!I12, IF('Benchmarking Data'!G12="Partial", 0.5*'Benchmarking Data'!I12, 0)))</f>
        <v>9</v>
      </c>
      <c r="G12" s="4">
        <f>IF('Benchmarking Data'!H12="Available", 'Benchmarking Data'!I12, IF('Benchmarking Data'!H12="Yes", 'Benchmarking Data'!I12, IF('Benchmarking Data'!H12="Partial", 0.5*'Benchmarking Data'!I12, 0)))</f>
        <v>9</v>
      </c>
    </row>
    <row r="13" spans="1:7" ht="14.5">
      <c r="A13" s="4" t="str">
        <f>'Benchmarking Data'!A13</f>
        <v>BMK-1012</v>
      </c>
      <c r="B13" s="4" t="str">
        <f>'Benchmarking Data'!F13</f>
        <v>REST API &amp; Webhooks</v>
      </c>
      <c r="C13" s="4">
        <f>'Benchmarking Data'!I13</f>
        <v>6</v>
      </c>
      <c r="D13" s="4" t="str">
        <f>'Benchmarking Data'!G13</f>
        <v>Available</v>
      </c>
      <c r="E13" s="4" t="str">
        <f>'Benchmarking Data'!H13</f>
        <v>Available</v>
      </c>
      <c r="F13" s="4">
        <f>IF('Benchmarking Data'!G13="Available", 'Benchmarking Data'!I13, IF('Benchmarking Data'!G13="Yes", 'Benchmarking Data'!I13, IF('Benchmarking Data'!G13="Partial", 0.5*'Benchmarking Data'!I13, 0)))</f>
        <v>6</v>
      </c>
      <c r="G13" s="4">
        <f>IF('Benchmarking Data'!H13="Available", 'Benchmarking Data'!I13, IF('Benchmarking Data'!H13="Yes", 'Benchmarking Data'!I13, IF('Benchmarking Data'!H13="Partial", 0.5*'Benchmarking Data'!I13, 0)))</f>
        <v>6</v>
      </c>
    </row>
    <row r="14" spans="1:7" ht="14.5">
      <c r="A14" s="4" t="str">
        <f>'Benchmarking Data'!A14</f>
        <v>BMK-1013</v>
      </c>
      <c r="B14" s="4" t="str">
        <f>'Benchmarking Data'!F14</f>
        <v>Pre-built Salesforce Connector</v>
      </c>
      <c r="C14" s="4">
        <f>'Benchmarking Data'!I14</f>
        <v>6</v>
      </c>
      <c r="D14" s="4" t="str">
        <f>'Benchmarking Data'!G14</f>
        <v>Available</v>
      </c>
      <c r="E14" s="4" t="str">
        <f>'Benchmarking Data'!H14</f>
        <v>Not Available</v>
      </c>
      <c r="F14" s="4">
        <f>IF('Benchmarking Data'!G14="Available", 'Benchmarking Data'!I14, IF('Benchmarking Data'!G14="Yes", 'Benchmarking Data'!I14, IF('Benchmarking Data'!G14="Partial", 0.5*'Benchmarking Data'!I14, 0)))</f>
        <v>6</v>
      </c>
      <c r="G14" s="4">
        <f>IF('Benchmarking Data'!H14="Available", 'Benchmarking Data'!I14, IF('Benchmarking Data'!H14="Yes", 'Benchmarking Data'!I14, IF('Benchmarking Data'!H14="Partial", 0.5*'Benchmarking Data'!I14, 0)))</f>
        <v>0</v>
      </c>
    </row>
    <row r="15" spans="1:7" ht="14.5">
      <c r="A15" s="4" t="str">
        <f>'Benchmarking Data'!A15</f>
        <v>BMK-1014</v>
      </c>
      <c r="B15" s="4" t="str">
        <f>'Benchmarking Data'!F15</f>
        <v>Snowflake &amp; BigQuery Sync</v>
      </c>
      <c r="C15" s="4">
        <f>'Benchmarking Data'!I15</f>
        <v>6</v>
      </c>
      <c r="D15" s="4" t="str">
        <f>'Benchmarking Data'!G15</f>
        <v>Available</v>
      </c>
      <c r="E15" s="4" t="str">
        <f>'Benchmarking Data'!H15</f>
        <v>Partial</v>
      </c>
      <c r="F15" s="4">
        <f>IF('Benchmarking Data'!G15="Available", 'Benchmarking Data'!I15, IF('Benchmarking Data'!G15="Yes", 'Benchmarking Data'!I15, IF('Benchmarking Data'!G15="Partial", 0.5*'Benchmarking Data'!I15, 0)))</f>
        <v>6</v>
      </c>
      <c r="G15" s="4">
        <f>IF('Benchmarking Data'!H15="Available", 'Benchmarking Data'!I15, IF('Benchmarking Data'!H15="Yes", 'Benchmarking Data'!I15, IF('Benchmarking Data'!H15="Partial", 0.5*'Benchmarking Data'!I15, 0)))</f>
        <v>3</v>
      </c>
    </row>
    <row r="16" spans="1:7" ht="14.5">
      <c r="A16" s="4" t="str">
        <f>'Benchmarking Data'!A16</f>
        <v>BMK-1015</v>
      </c>
      <c r="B16" s="4" t="str">
        <f>'Benchmarking Data'!F16</f>
        <v>Zapier &amp; Make Integration</v>
      </c>
      <c r="C16" s="4">
        <f>'Benchmarking Data'!I16</f>
        <v>7</v>
      </c>
      <c r="D16" s="4" t="str">
        <f>'Benchmarking Data'!G16</f>
        <v>Available</v>
      </c>
      <c r="E16" s="4" t="str">
        <f>'Benchmarking Data'!H16</f>
        <v>Not Available</v>
      </c>
      <c r="F16" s="4">
        <f>IF('Benchmarking Data'!G16="Available", 'Benchmarking Data'!I16, IF('Benchmarking Data'!G16="Yes", 'Benchmarking Data'!I16, IF('Benchmarking Data'!G16="Partial", 0.5*'Benchmarking Data'!I16, 0)))</f>
        <v>7</v>
      </c>
      <c r="G16" s="4">
        <f>IF('Benchmarking Data'!H16="Available", 'Benchmarking Data'!I16, IF('Benchmarking Data'!H16="Yes", 'Benchmarking Data'!I16, IF('Benchmarking Data'!H16="Partial", 0.5*'Benchmarking Data'!I16, 0)))</f>
        <v>0</v>
      </c>
    </row>
    <row r="17" spans="1:7" ht="14.5">
      <c r="A17" s="4" t="str">
        <f>'Benchmarking Data'!A17</f>
        <v>BMK-1016</v>
      </c>
      <c r="B17" s="4" t="str">
        <f>'Benchmarking Data'!F17</f>
        <v>Custom ETL Scripting Support</v>
      </c>
      <c r="C17" s="4">
        <f>'Benchmarking Data'!I17</f>
        <v>7</v>
      </c>
      <c r="D17" s="4" t="str">
        <f>'Benchmarking Data'!G17</f>
        <v>Available</v>
      </c>
      <c r="E17" s="4" t="str">
        <f>'Benchmarking Data'!H17</f>
        <v>Not Available</v>
      </c>
      <c r="F17" s="4">
        <f>IF('Benchmarking Data'!G17="Available", 'Benchmarking Data'!I17, IF('Benchmarking Data'!G17="Yes", 'Benchmarking Data'!I17, IF('Benchmarking Data'!G17="Partial", 0.5*'Benchmarking Data'!I17, 0)))</f>
        <v>7</v>
      </c>
      <c r="G17" s="4">
        <f>IF('Benchmarking Data'!H17="Available", 'Benchmarking Data'!I17, IF('Benchmarking Data'!H17="Yes", 'Benchmarking Data'!I17, IF('Benchmarking Data'!H17="Partial", 0.5*'Benchmarking Data'!I17, 0)))</f>
        <v>0</v>
      </c>
    </row>
    <row r="18" spans="1:7" ht="14.5">
      <c r="A18" s="4" t="str">
        <f>'Benchmarking Data'!A18</f>
        <v>BMK-1017</v>
      </c>
      <c r="B18" s="4" t="str">
        <f>'Benchmarking Data'!F18</f>
        <v>Role-Based Access Control (RBAC)</v>
      </c>
      <c r="C18" s="4">
        <f>'Benchmarking Data'!I18</f>
        <v>10</v>
      </c>
      <c r="D18" s="4" t="str">
        <f>'Benchmarking Data'!G18</f>
        <v>Available</v>
      </c>
      <c r="E18" s="4" t="str">
        <f>'Benchmarking Data'!H18</f>
        <v>Not Available</v>
      </c>
      <c r="F18" s="4">
        <f>IF('Benchmarking Data'!G18="Available", 'Benchmarking Data'!I18, IF('Benchmarking Data'!G18="Yes", 'Benchmarking Data'!I18, IF('Benchmarking Data'!G18="Partial", 0.5*'Benchmarking Data'!I18, 0)))</f>
        <v>10</v>
      </c>
      <c r="G18" s="4">
        <f>IF('Benchmarking Data'!H18="Available", 'Benchmarking Data'!I18, IF('Benchmarking Data'!H18="Yes", 'Benchmarking Data'!I18, IF('Benchmarking Data'!H18="Partial", 0.5*'Benchmarking Data'!I18, 0)))</f>
        <v>0</v>
      </c>
    </row>
    <row r="19" spans="1:7" ht="14.5">
      <c r="A19" s="4" t="str">
        <f>'Benchmarking Data'!A19</f>
        <v>BMK-1018</v>
      </c>
      <c r="B19" s="4" t="str">
        <f>'Benchmarking Data'!F19</f>
        <v>SOC2 Type II Compliance</v>
      </c>
      <c r="C19" s="4">
        <f>'Benchmarking Data'!I19</f>
        <v>10</v>
      </c>
      <c r="D19" s="4" t="str">
        <f>'Benchmarking Data'!G19</f>
        <v>Available</v>
      </c>
      <c r="E19" s="4" t="str">
        <f>'Benchmarking Data'!H19</f>
        <v>Available</v>
      </c>
      <c r="F19" s="4">
        <f>IF('Benchmarking Data'!G19="Available", 'Benchmarking Data'!I19, IF('Benchmarking Data'!G19="Yes", 'Benchmarking Data'!I19, IF('Benchmarking Data'!G19="Partial", 0.5*'Benchmarking Data'!I19, 0)))</f>
        <v>10</v>
      </c>
      <c r="G19" s="4">
        <f>IF('Benchmarking Data'!H19="Available", 'Benchmarking Data'!I19, IF('Benchmarking Data'!H19="Yes", 'Benchmarking Data'!I19, IF('Benchmarking Data'!H19="Partial", 0.5*'Benchmarking Data'!I19, 0)))</f>
        <v>10</v>
      </c>
    </row>
    <row r="20" spans="1:7" ht="14.5">
      <c r="A20" s="4" t="str">
        <f>'Benchmarking Data'!A20</f>
        <v>BMK-1019</v>
      </c>
      <c r="B20" s="4" t="str">
        <f>'Benchmarking Data'!F20</f>
        <v>Single Sign-On (SSO / SAML)</v>
      </c>
      <c r="C20" s="4">
        <f>'Benchmarking Data'!I20</f>
        <v>6</v>
      </c>
      <c r="D20" s="4" t="str">
        <f>'Benchmarking Data'!G20</f>
        <v>Available</v>
      </c>
      <c r="E20" s="4" t="str">
        <f>'Benchmarking Data'!H20</f>
        <v>Available</v>
      </c>
      <c r="F20" s="4">
        <f>IF('Benchmarking Data'!G20="Available", 'Benchmarking Data'!I20, IF('Benchmarking Data'!G20="Yes", 'Benchmarking Data'!I20, IF('Benchmarking Data'!G20="Partial", 0.5*'Benchmarking Data'!I20, 0)))</f>
        <v>6</v>
      </c>
      <c r="G20" s="4">
        <f>IF('Benchmarking Data'!H20="Available", 'Benchmarking Data'!I20, IF('Benchmarking Data'!H20="Yes", 'Benchmarking Data'!I20, IF('Benchmarking Data'!H20="Partial", 0.5*'Benchmarking Data'!I20, 0)))</f>
        <v>6</v>
      </c>
    </row>
    <row r="21" spans="1:7" ht="15.75" customHeight="1">
      <c r="A21" s="4" t="str">
        <f>'Benchmarking Data'!A21</f>
        <v>BMK-1020</v>
      </c>
      <c r="B21" s="4" t="str">
        <f>'Benchmarking Data'!F21</f>
        <v>Data Masking &amp; Encryption at Rest</v>
      </c>
      <c r="C21" s="4">
        <f>'Benchmarking Data'!I21</f>
        <v>10</v>
      </c>
      <c r="D21" s="4" t="str">
        <f>'Benchmarking Data'!G21</f>
        <v>Partial</v>
      </c>
      <c r="E21" s="4" t="str">
        <f>'Benchmarking Data'!H21</f>
        <v>Available</v>
      </c>
      <c r="F21" s="4">
        <f>IF('Benchmarking Data'!G21="Available", 'Benchmarking Data'!I21, IF('Benchmarking Data'!G21="Yes", 'Benchmarking Data'!I21, IF('Benchmarking Data'!G21="Partial", 0.5*'Benchmarking Data'!I21, 0)))</f>
        <v>5</v>
      </c>
      <c r="G21" s="4">
        <f>IF('Benchmarking Data'!H21="Available", 'Benchmarking Data'!I21, IF('Benchmarking Data'!H21="Yes", 'Benchmarking Data'!I21, IF('Benchmarking Data'!H21="Partial", 0.5*'Benchmarking Data'!I21, 0)))</f>
        <v>10</v>
      </c>
    </row>
    <row r="22" spans="1:7" ht="15.75" customHeight="1">
      <c r="A22" s="4" t="str">
        <f>'Benchmarking Data'!A22</f>
        <v>BMK-1021</v>
      </c>
      <c r="B22" s="4" t="str">
        <f>'Benchmarking Data'!F22</f>
        <v>Audit Logging &amp; Activity Trails</v>
      </c>
      <c r="C22" s="4">
        <f>'Benchmarking Data'!I22</f>
        <v>7</v>
      </c>
      <c r="D22" s="4" t="str">
        <f>'Benchmarking Data'!G22</f>
        <v>Partial</v>
      </c>
      <c r="E22" s="4" t="str">
        <f>'Benchmarking Data'!H22</f>
        <v>Available</v>
      </c>
      <c r="F22" s="4">
        <f>IF('Benchmarking Data'!G22="Available", 'Benchmarking Data'!I22, IF('Benchmarking Data'!G22="Yes", 'Benchmarking Data'!I22, IF('Benchmarking Data'!G22="Partial", 0.5*'Benchmarking Data'!I22, 0)))</f>
        <v>3.5</v>
      </c>
      <c r="G22" s="4">
        <f>IF('Benchmarking Data'!H22="Available", 'Benchmarking Data'!I22, IF('Benchmarking Data'!H22="Yes", 'Benchmarking Data'!I22, IF('Benchmarking Data'!H22="Partial", 0.5*'Benchmarking Data'!I22, 0)))</f>
        <v>7</v>
      </c>
    </row>
    <row r="23" spans="1:7" ht="15.75" customHeight="1">
      <c r="A23" s="4" t="str">
        <f>'Benchmarking Data'!A23</f>
        <v>BMK-1022</v>
      </c>
      <c r="B23" s="4" t="str">
        <f>'Benchmarking Data'!F23</f>
        <v>Native iOS &amp; Android App</v>
      </c>
      <c r="C23" s="4">
        <f>'Benchmarking Data'!I23</f>
        <v>10</v>
      </c>
      <c r="D23" s="4" t="str">
        <f>'Benchmarking Data'!G23</f>
        <v>Available</v>
      </c>
      <c r="E23" s="4" t="str">
        <f>'Benchmarking Data'!H23</f>
        <v>Available</v>
      </c>
      <c r="F23" s="4">
        <f>IF('Benchmarking Data'!G23="Available", 'Benchmarking Data'!I23, IF('Benchmarking Data'!G23="Yes", 'Benchmarking Data'!I23, IF('Benchmarking Data'!G23="Partial", 0.5*'Benchmarking Data'!I23, 0)))</f>
        <v>10</v>
      </c>
      <c r="G23" s="4">
        <f>IF('Benchmarking Data'!H23="Available", 'Benchmarking Data'!I23, IF('Benchmarking Data'!H23="Yes", 'Benchmarking Data'!I23, IF('Benchmarking Data'!H23="Partial", 0.5*'Benchmarking Data'!I23, 0)))</f>
        <v>10</v>
      </c>
    </row>
    <row r="24" spans="1:7" ht="15.75" customHeight="1">
      <c r="A24" s="4" t="str">
        <f>'Benchmarking Data'!A24</f>
        <v>BMK-1023</v>
      </c>
      <c r="B24" s="4" t="str">
        <f>'Benchmarking Data'!F24</f>
        <v>Dark Mode / Custom Themes</v>
      </c>
      <c r="C24" s="4">
        <f>'Benchmarking Data'!I24</f>
        <v>9</v>
      </c>
      <c r="D24" s="4" t="str">
        <f>'Benchmarking Data'!G24</f>
        <v>Available</v>
      </c>
      <c r="E24" s="4" t="str">
        <f>'Benchmarking Data'!H24</f>
        <v>Not Available</v>
      </c>
      <c r="F24" s="4">
        <f>IF('Benchmarking Data'!G24="Available", 'Benchmarking Data'!I24, IF('Benchmarking Data'!G24="Yes", 'Benchmarking Data'!I24, IF('Benchmarking Data'!G24="Partial", 0.5*'Benchmarking Data'!I24, 0)))</f>
        <v>9</v>
      </c>
      <c r="G24" s="4">
        <f>IF('Benchmarking Data'!H24="Available", 'Benchmarking Data'!I24, IF('Benchmarking Data'!H24="Yes", 'Benchmarking Data'!I24, IF('Benchmarking Data'!H24="Partial", 0.5*'Benchmarking Data'!I24, 0)))</f>
        <v>0</v>
      </c>
    </row>
    <row r="25" spans="1:7" ht="15.75" customHeight="1">
      <c r="A25" s="4" t="str">
        <f>'Benchmarking Data'!A25</f>
        <v>BMK-1024</v>
      </c>
      <c r="B25" s="4" t="str">
        <f>'Benchmarking Data'!F25</f>
        <v>Collaborative Comments &amp; Tagging</v>
      </c>
      <c r="C25" s="4">
        <f>'Benchmarking Data'!I25</f>
        <v>7</v>
      </c>
      <c r="D25" s="4" t="str">
        <f>'Benchmarking Data'!G25</f>
        <v>Available</v>
      </c>
      <c r="E25" s="4" t="str">
        <f>'Benchmarking Data'!H25</f>
        <v>Available</v>
      </c>
      <c r="F25" s="4">
        <f>IF('Benchmarking Data'!G25="Available", 'Benchmarking Data'!I25, IF('Benchmarking Data'!G25="Yes", 'Benchmarking Data'!I25, IF('Benchmarking Data'!G25="Partial", 0.5*'Benchmarking Data'!I25, 0)))</f>
        <v>7</v>
      </c>
      <c r="G25" s="4">
        <f>IF('Benchmarking Data'!H25="Available", 'Benchmarking Data'!I25, IF('Benchmarking Data'!H25="Yes", 'Benchmarking Data'!I25, IF('Benchmarking Data'!H25="Partial", 0.5*'Benchmarking Data'!I25, 0)))</f>
        <v>7</v>
      </c>
    </row>
    <row r="26" spans="1:7" ht="15.75" customHeight="1">
      <c r="A26" s="4" t="str">
        <f>'Benchmarking Data'!A26</f>
        <v>BMK-1025</v>
      </c>
      <c r="B26" s="4" t="str">
        <f>'Benchmarking Data'!F26</f>
        <v>Multi-Language Localization</v>
      </c>
      <c r="C26" s="4">
        <f>'Benchmarking Data'!I26</f>
        <v>9</v>
      </c>
      <c r="D26" s="4" t="str">
        <f>'Benchmarking Data'!G26</f>
        <v>Available</v>
      </c>
      <c r="E26" s="4" t="str">
        <f>'Benchmarking Data'!H26</f>
        <v>Available</v>
      </c>
      <c r="F26" s="4">
        <f>IF('Benchmarking Data'!G26="Available", 'Benchmarking Data'!I26, IF('Benchmarking Data'!G26="Yes", 'Benchmarking Data'!I26, IF('Benchmarking Data'!G26="Partial", 0.5*'Benchmarking Data'!I26, 0)))</f>
        <v>9</v>
      </c>
      <c r="G26" s="4">
        <f>IF('Benchmarking Data'!H26="Available", 'Benchmarking Data'!I26, IF('Benchmarking Data'!H26="Yes", 'Benchmarking Data'!I26, IF('Benchmarking Data'!H26="Partial", 0.5*'Benchmarking Data'!I26, 0)))</f>
        <v>9</v>
      </c>
    </row>
    <row r="27" spans="1:7" ht="15.75" customHeight="1">
      <c r="A27" s="4" t="str">
        <f>'Benchmarking Data'!A27</f>
        <v>BMK-1026</v>
      </c>
      <c r="B27" s="4" t="str">
        <f>'Benchmarking Data'!F27</f>
        <v>Custom White-Labeling</v>
      </c>
      <c r="C27" s="4">
        <f>'Benchmarking Data'!I27</f>
        <v>10</v>
      </c>
      <c r="D27" s="4" t="str">
        <f>'Benchmarking Data'!G27</f>
        <v>Available</v>
      </c>
      <c r="E27" s="4" t="str">
        <f>'Benchmarking Data'!H27</f>
        <v>Available</v>
      </c>
      <c r="F27" s="4">
        <f>IF('Benchmarking Data'!G27="Available", 'Benchmarking Data'!I27, IF('Benchmarking Data'!G27="Yes", 'Benchmarking Data'!I27, IF('Benchmarking Data'!G27="Partial", 0.5*'Benchmarking Data'!I27, 0)))</f>
        <v>10</v>
      </c>
      <c r="G27" s="4">
        <f>IF('Benchmarking Data'!H27="Available", 'Benchmarking Data'!I27, IF('Benchmarking Data'!H27="Yes", 'Benchmarking Data'!I27, IF('Benchmarking Data'!H27="Partial", 0.5*'Benchmarking Data'!I27, 0)))</f>
        <v>10</v>
      </c>
    </row>
    <row r="28" spans="1:7" ht="15.75" customHeight="1">
      <c r="A28" s="4" t="str">
        <f>'Benchmarking Data'!A28</f>
        <v>BMK-1027</v>
      </c>
      <c r="B28" s="4" t="str">
        <f>'Benchmarking Data'!F28</f>
        <v>Real-Time Data Streaming</v>
      </c>
      <c r="C28" s="4">
        <f>'Benchmarking Data'!I28</f>
        <v>6</v>
      </c>
      <c r="D28" s="4" t="str">
        <f>'Benchmarking Data'!G28</f>
        <v>Available</v>
      </c>
      <c r="E28" s="4" t="str">
        <f>'Benchmarking Data'!H28</f>
        <v>Available</v>
      </c>
      <c r="F28" s="4">
        <f>IF('Benchmarking Data'!G28="Available", 'Benchmarking Data'!I28, IF('Benchmarking Data'!G28="Yes", 'Benchmarking Data'!I28, IF('Benchmarking Data'!G28="Partial", 0.5*'Benchmarking Data'!I28, 0)))</f>
        <v>6</v>
      </c>
      <c r="G28" s="4">
        <f>IF('Benchmarking Data'!H28="Available", 'Benchmarking Data'!I28, IF('Benchmarking Data'!H28="Yes", 'Benchmarking Data'!I28, IF('Benchmarking Data'!H28="Partial", 0.5*'Benchmarking Data'!I28, 0)))</f>
        <v>6</v>
      </c>
    </row>
    <row r="29" spans="1:7" ht="15.75" customHeight="1">
      <c r="A29" s="4" t="str">
        <f>'Benchmarking Data'!A29</f>
        <v>BMK-1028</v>
      </c>
      <c r="B29" s="4" t="str">
        <f>'Benchmarking Data'!F29</f>
        <v>Custom Dashboard Builder</v>
      </c>
      <c r="C29" s="4">
        <f>'Benchmarking Data'!I29</f>
        <v>6</v>
      </c>
      <c r="D29" s="4" t="str">
        <f>'Benchmarking Data'!G29</f>
        <v>Partial</v>
      </c>
      <c r="E29" s="4" t="str">
        <f>'Benchmarking Data'!H29</f>
        <v>Partial</v>
      </c>
      <c r="F29" s="4">
        <f>IF('Benchmarking Data'!G29="Available", 'Benchmarking Data'!I29, IF('Benchmarking Data'!G29="Yes", 'Benchmarking Data'!I29, IF('Benchmarking Data'!G29="Partial", 0.5*'Benchmarking Data'!I29, 0)))</f>
        <v>3</v>
      </c>
      <c r="G29" s="4">
        <f>IF('Benchmarking Data'!H29="Available", 'Benchmarking Data'!I29, IF('Benchmarking Data'!H29="Yes", 'Benchmarking Data'!I29, IF('Benchmarking Data'!H29="Partial", 0.5*'Benchmarking Data'!I29, 0)))</f>
        <v>3</v>
      </c>
    </row>
    <row r="30" spans="1:7" ht="15.75" customHeight="1">
      <c r="A30" s="4" t="str">
        <f>'Benchmarking Data'!A30</f>
        <v>BMK-1029</v>
      </c>
      <c r="B30" s="4" t="str">
        <f>'Benchmarking Data'!F30</f>
        <v>Ad-Hoc Query Engine</v>
      </c>
      <c r="C30" s="4">
        <f>'Benchmarking Data'!I30</f>
        <v>8</v>
      </c>
      <c r="D30" s="4" t="str">
        <f>'Benchmarking Data'!G30</f>
        <v>Available</v>
      </c>
      <c r="E30" s="4" t="str">
        <f>'Benchmarking Data'!H30</f>
        <v>Not Available</v>
      </c>
      <c r="F30" s="4">
        <f>IF('Benchmarking Data'!G30="Available", 'Benchmarking Data'!I30, IF('Benchmarking Data'!G30="Yes", 'Benchmarking Data'!I30, IF('Benchmarking Data'!G30="Partial", 0.5*'Benchmarking Data'!I30, 0)))</f>
        <v>8</v>
      </c>
      <c r="G30" s="4">
        <f>IF('Benchmarking Data'!H30="Available", 'Benchmarking Data'!I30, IF('Benchmarking Data'!H30="Yes", 'Benchmarking Data'!I30, IF('Benchmarking Data'!H30="Partial", 0.5*'Benchmarking Data'!I30, 0)))</f>
        <v>0</v>
      </c>
    </row>
    <row r="31" spans="1:7" ht="15.75" customHeight="1">
      <c r="A31" s="4" t="str">
        <f>'Benchmarking Data'!A31</f>
        <v>BMK-1030</v>
      </c>
      <c r="B31" s="4" t="str">
        <f>'Benchmarking Data'!F31</f>
        <v>Automated PDF Reporting</v>
      </c>
      <c r="C31" s="4">
        <f>'Benchmarking Data'!I31</f>
        <v>7</v>
      </c>
      <c r="D31" s="4" t="str">
        <f>'Benchmarking Data'!G31</f>
        <v>Available</v>
      </c>
      <c r="E31" s="4" t="str">
        <f>'Benchmarking Data'!H31</f>
        <v>Not Available</v>
      </c>
      <c r="F31" s="4">
        <f>IF('Benchmarking Data'!G31="Available", 'Benchmarking Data'!I31, IF('Benchmarking Data'!G31="Yes", 'Benchmarking Data'!I31, IF('Benchmarking Data'!G31="Partial", 0.5*'Benchmarking Data'!I31, 0)))</f>
        <v>7</v>
      </c>
      <c r="G31" s="4">
        <f>IF('Benchmarking Data'!H31="Available", 'Benchmarking Data'!I31, IF('Benchmarking Data'!H31="Yes", 'Benchmarking Data'!I31, IF('Benchmarking Data'!H31="Partial", 0.5*'Benchmarking Data'!I31, 0)))</f>
        <v>0</v>
      </c>
    </row>
    <row r="32" spans="1:7" ht="15.75" customHeight="1">
      <c r="A32" s="4" t="str">
        <f>'Benchmarking Data'!A32</f>
        <v>BMK-1031</v>
      </c>
      <c r="B32" s="4" t="str">
        <f>'Benchmarking Data'!F32</f>
        <v>Data Export (CSV/XLSX/JSON)</v>
      </c>
      <c r="C32" s="4">
        <f>'Benchmarking Data'!I32</f>
        <v>7</v>
      </c>
      <c r="D32" s="4" t="str">
        <f>'Benchmarking Data'!G32</f>
        <v>Available</v>
      </c>
      <c r="E32" s="4" t="str">
        <f>'Benchmarking Data'!H32</f>
        <v>Not Available</v>
      </c>
      <c r="F32" s="4">
        <f>IF('Benchmarking Data'!G32="Available", 'Benchmarking Data'!I32, IF('Benchmarking Data'!G32="Yes", 'Benchmarking Data'!I32, IF('Benchmarking Data'!G32="Partial", 0.5*'Benchmarking Data'!I32, 0)))</f>
        <v>7</v>
      </c>
      <c r="G32" s="4">
        <f>IF('Benchmarking Data'!H32="Available", 'Benchmarking Data'!I32, IF('Benchmarking Data'!H32="Yes", 'Benchmarking Data'!I32, IF('Benchmarking Data'!H32="Partial", 0.5*'Benchmarking Data'!I32, 0)))</f>
        <v>0</v>
      </c>
    </row>
    <row r="33" spans="1:7" ht="15.75" customHeight="1">
      <c r="A33" s="4" t="str">
        <f>'Benchmarking Data'!A33</f>
        <v>BMK-1032</v>
      </c>
      <c r="B33" s="4" t="str">
        <f>'Benchmarking Data'!F33</f>
        <v>Interactive Drill-Downs</v>
      </c>
      <c r="C33" s="4">
        <f>'Benchmarking Data'!I33</f>
        <v>7</v>
      </c>
      <c r="D33" s="4" t="str">
        <f>'Benchmarking Data'!G33</f>
        <v>Available</v>
      </c>
      <c r="E33" s="4" t="str">
        <f>'Benchmarking Data'!H33</f>
        <v>Partial</v>
      </c>
      <c r="F33" s="4">
        <f>IF('Benchmarking Data'!G33="Available", 'Benchmarking Data'!I33, IF('Benchmarking Data'!G33="Yes", 'Benchmarking Data'!I33, IF('Benchmarking Data'!G33="Partial", 0.5*'Benchmarking Data'!I33, 0)))</f>
        <v>7</v>
      </c>
      <c r="G33" s="4">
        <f>IF('Benchmarking Data'!H33="Available", 'Benchmarking Data'!I33, IF('Benchmarking Data'!H33="Yes", 'Benchmarking Data'!I33, IF('Benchmarking Data'!H33="Partial", 0.5*'Benchmarking Data'!I33, 0)))</f>
        <v>3.5</v>
      </c>
    </row>
    <row r="34" spans="1:7" ht="15.75" customHeight="1">
      <c r="A34" s="4" t="str">
        <f>'Benchmarking Data'!A34</f>
        <v>BMK-1033</v>
      </c>
      <c r="B34" s="4" t="str">
        <f>'Benchmarking Data'!F34</f>
        <v>Predictive Anomaly Detection</v>
      </c>
      <c r="C34" s="4">
        <f>'Benchmarking Data'!I34</f>
        <v>6</v>
      </c>
      <c r="D34" s="4" t="str">
        <f>'Benchmarking Data'!G34</f>
        <v>Available</v>
      </c>
      <c r="E34" s="4" t="str">
        <f>'Benchmarking Data'!H34</f>
        <v>Partial</v>
      </c>
      <c r="F34" s="4">
        <f>IF('Benchmarking Data'!G34="Available", 'Benchmarking Data'!I34, IF('Benchmarking Data'!G34="Yes", 'Benchmarking Data'!I34, IF('Benchmarking Data'!G34="Partial", 0.5*'Benchmarking Data'!I34, 0)))</f>
        <v>6</v>
      </c>
      <c r="G34" s="4">
        <f>IF('Benchmarking Data'!H34="Available", 'Benchmarking Data'!I34, IF('Benchmarking Data'!H34="Yes", 'Benchmarking Data'!I34, IF('Benchmarking Data'!H34="Partial", 0.5*'Benchmarking Data'!I34, 0)))</f>
        <v>3</v>
      </c>
    </row>
    <row r="35" spans="1:7" ht="15.75" customHeight="1">
      <c r="A35" s="4" t="str">
        <f>'Benchmarking Data'!A35</f>
        <v>BMK-1034</v>
      </c>
      <c r="B35" s="4" t="str">
        <f>'Benchmarking Data'!F35</f>
        <v>Automated Insight Generation</v>
      </c>
      <c r="C35" s="4">
        <f>'Benchmarking Data'!I35</f>
        <v>10</v>
      </c>
      <c r="D35" s="4" t="str">
        <f>'Benchmarking Data'!G35</f>
        <v>Available</v>
      </c>
      <c r="E35" s="4" t="str">
        <f>'Benchmarking Data'!H35</f>
        <v>Partial</v>
      </c>
      <c r="F35" s="4">
        <f>IF('Benchmarking Data'!G35="Available", 'Benchmarking Data'!I35, IF('Benchmarking Data'!G35="Yes", 'Benchmarking Data'!I35, IF('Benchmarking Data'!G35="Partial", 0.5*'Benchmarking Data'!I35, 0)))</f>
        <v>10</v>
      </c>
      <c r="G35" s="4">
        <f>IF('Benchmarking Data'!H35="Available", 'Benchmarking Data'!I35, IF('Benchmarking Data'!H35="Yes", 'Benchmarking Data'!I35, IF('Benchmarking Data'!H35="Partial", 0.5*'Benchmarking Data'!I35, 0)))</f>
        <v>5</v>
      </c>
    </row>
    <row r="36" spans="1:7" ht="15.75" customHeight="1">
      <c r="A36" s="4" t="str">
        <f>'Benchmarking Data'!A36</f>
        <v>BMK-1035</v>
      </c>
      <c r="B36" s="4" t="str">
        <f>'Benchmarking Data'!F36</f>
        <v>Natural Language Querying (NLQ)</v>
      </c>
      <c r="C36" s="4">
        <f>'Benchmarking Data'!I36</f>
        <v>6</v>
      </c>
      <c r="D36" s="4" t="str">
        <f>'Benchmarking Data'!G36</f>
        <v>Available</v>
      </c>
      <c r="E36" s="4" t="str">
        <f>'Benchmarking Data'!H36</f>
        <v>Partial</v>
      </c>
      <c r="F36" s="4">
        <f>IF('Benchmarking Data'!G36="Available", 'Benchmarking Data'!I36, IF('Benchmarking Data'!G36="Yes", 'Benchmarking Data'!I36, IF('Benchmarking Data'!G36="Partial", 0.5*'Benchmarking Data'!I36, 0)))</f>
        <v>6</v>
      </c>
      <c r="G36" s="4">
        <f>IF('Benchmarking Data'!H36="Available", 'Benchmarking Data'!I36, IF('Benchmarking Data'!H36="Yes", 'Benchmarking Data'!I36, IF('Benchmarking Data'!H36="Partial", 0.5*'Benchmarking Data'!I36, 0)))</f>
        <v>3</v>
      </c>
    </row>
    <row r="37" spans="1:7" ht="15.75" customHeight="1">
      <c r="A37" s="4" t="str">
        <f>'Benchmarking Data'!A37</f>
        <v>BMK-1036</v>
      </c>
      <c r="B37" s="4" t="str">
        <f>'Benchmarking Data'!F37</f>
        <v>Forecasting &amp; Trend Projection</v>
      </c>
      <c r="C37" s="4">
        <f>'Benchmarking Data'!I37</f>
        <v>10</v>
      </c>
      <c r="D37" s="4" t="str">
        <f>'Benchmarking Data'!G37</f>
        <v>Available</v>
      </c>
      <c r="E37" s="4" t="str">
        <f>'Benchmarking Data'!H37</f>
        <v>Partial</v>
      </c>
      <c r="F37" s="4">
        <f>IF('Benchmarking Data'!G37="Available", 'Benchmarking Data'!I37, IF('Benchmarking Data'!G37="Yes", 'Benchmarking Data'!I37, IF('Benchmarking Data'!G37="Partial", 0.5*'Benchmarking Data'!I37, 0)))</f>
        <v>10</v>
      </c>
      <c r="G37" s="4">
        <f>IF('Benchmarking Data'!H37="Available", 'Benchmarking Data'!I37, IF('Benchmarking Data'!H37="Yes", 'Benchmarking Data'!I37, IF('Benchmarking Data'!H37="Partial", 0.5*'Benchmarking Data'!I37, 0)))</f>
        <v>5</v>
      </c>
    </row>
    <row r="38" spans="1:7" ht="15.75" customHeight="1">
      <c r="A38" s="4" t="str">
        <f>'Benchmarking Data'!A38</f>
        <v>BMK-1037</v>
      </c>
      <c r="B38" s="4" t="str">
        <f>'Benchmarking Data'!F38</f>
        <v>Smart Alerting &amp; Triggers</v>
      </c>
      <c r="C38" s="4">
        <f>'Benchmarking Data'!I38</f>
        <v>9</v>
      </c>
      <c r="D38" s="4" t="str">
        <f>'Benchmarking Data'!G38</f>
        <v>Available</v>
      </c>
      <c r="E38" s="4" t="str">
        <f>'Benchmarking Data'!H38</f>
        <v>Not Available</v>
      </c>
      <c r="F38" s="4">
        <f>IF('Benchmarking Data'!G38="Available", 'Benchmarking Data'!I38, IF('Benchmarking Data'!G38="Yes", 'Benchmarking Data'!I38, IF('Benchmarking Data'!G38="Partial", 0.5*'Benchmarking Data'!I38, 0)))</f>
        <v>9</v>
      </c>
      <c r="G38" s="4">
        <f>IF('Benchmarking Data'!H38="Available", 'Benchmarking Data'!I38, IF('Benchmarking Data'!H38="Yes", 'Benchmarking Data'!I38, IF('Benchmarking Data'!H38="Partial", 0.5*'Benchmarking Data'!I38, 0)))</f>
        <v>0</v>
      </c>
    </row>
    <row r="39" spans="1:7" ht="15.75" customHeight="1">
      <c r="A39" s="4" t="str">
        <f>'Benchmarking Data'!A39</f>
        <v>BMK-1038</v>
      </c>
      <c r="B39" s="4" t="str">
        <f>'Benchmarking Data'!F39</f>
        <v>REST API &amp; Webhooks</v>
      </c>
      <c r="C39" s="4">
        <f>'Benchmarking Data'!I39</f>
        <v>6</v>
      </c>
      <c r="D39" s="4" t="str">
        <f>'Benchmarking Data'!G39</f>
        <v>Available</v>
      </c>
      <c r="E39" s="4" t="str">
        <f>'Benchmarking Data'!H39</f>
        <v>Partial</v>
      </c>
      <c r="F39" s="4">
        <f>IF('Benchmarking Data'!G39="Available", 'Benchmarking Data'!I39, IF('Benchmarking Data'!G39="Yes", 'Benchmarking Data'!I39, IF('Benchmarking Data'!G39="Partial", 0.5*'Benchmarking Data'!I39, 0)))</f>
        <v>6</v>
      </c>
      <c r="G39" s="4">
        <f>IF('Benchmarking Data'!H39="Available", 'Benchmarking Data'!I39, IF('Benchmarking Data'!H39="Yes", 'Benchmarking Data'!I39, IF('Benchmarking Data'!H39="Partial", 0.5*'Benchmarking Data'!I39, 0)))</f>
        <v>3</v>
      </c>
    </row>
    <row r="40" spans="1:7" ht="15.75" customHeight="1">
      <c r="A40" s="4" t="str">
        <f>'Benchmarking Data'!A40</f>
        <v>BMK-1039</v>
      </c>
      <c r="B40" s="4" t="str">
        <f>'Benchmarking Data'!F40</f>
        <v>Pre-built Salesforce Connector</v>
      </c>
      <c r="C40" s="4">
        <f>'Benchmarking Data'!I40</f>
        <v>6</v>
      </c>
      <c r="D40" s="4" t="str">
        <f>'Benchmarking Data'!G40</f>
        <v>Available</v>
      </c>
      <c r="E40" s="4" t="str">
        <f>'Benchmarking Data'!H40</f>
        <v>Partial</v>
      </c>
      <c r="F40" s="4">
        <f>IF('Benchmarking Data'!G40="Available", 'Benchmarking Data'!I40, IF('Benchmarking Data'!G40="Yes", 'Benchmarking Data'!I40, IF('Benchmarking Data'!G40="Partial", 0.5*'Benchmarking Data'!I40, 0)))</f>
        <v>6</v>
      </c>
      <c r="G40" s="4">
        <f>IF('Benchmarking Data'!H40="Available", 'Benchmarking Data'!I40, IF('Benchmarking Data'!H40="Yes", 'Benchmarking Data'!I40, IF('Benchmarking Data'!H40="Partial", 0.5*'Benchmarking Data'!I40, 0)))</f>
        <v>3</v>
      </c>
    </row>
    <row r="41" spans="1:7" ht="15.75" customHeight="1">
      <c r="A41" s="4" t="str">
        <f>'Benchmarking Data'!A41</f>
        <v>BMK-1040</v>
      </c>
      <c r="B41" s="4" t="str">
        <f>'Benchmarking Data'!F41</f>
        <v>Snowflake &amp; BigQuery Sync</v>
      </c>
      <c r="C41" s="4">
        <f>'Benchmarking Data'!I41</f>
        <v>6</v>
      </c>
      <c r="D41" s="4" t="str">
        <f>'Benchmarking Data'!G41</f>
        <v>Available</v>
      </c>
      <c r="E41" s="4" t="str">
        <f>'Benchmarking Data'!H41</f>
        <v>Available</v>
      </c>
      <c r="F41" s="4">
        <f>IF('Benchmarking Data'!G41="Available", 'Benchmarking Data'!I41, IF('Benchmarking Data'!G41="Yes", 'Benchmarking Data'!I41, IF('Benchmarking Data'!G41="Partial", 0.5*'Benchmarking Data'!I41, 0)))</f>
        <v>6</v>
      </c>
      <c r="G41" s="4">
        <f>IF('Benchmarking Data'!H41="Available", 'Benchmarking Data'!I41, IF('Benchmarking Data'!H41="Yes", 'Benchmarking Data'!I41, IF('Benchmarking Data'!H41="Partial", 0.5*'Benchmarking Data'!I41, 0)))</f>
        <v>6</v>
      </c>
    </row>
    <row r="42" spans="1:7" ht="15.75" customHeight="1">
      <c r="A42" s="4" t="str">
        <f>'Benchmarking Data'!A42</f>
        <v>BMK-1041</v>
      </c>
      <c r="B42" s="4" t="str">
        <f>'Benchmarking Data'!F42</f>
        <v>Zapier &amp; Make Integration</v>
      </c>
      <c r="C42" s="4">
        <f>'Benchmarking Data'!I42</f>
        <v>7</v>
      </c>
      <c r="D42" s="4" t="str">
        <f>'Benchmarking Data'!G42</f>
        <v>Partial</v>
      </c>
      <c r="E42" s="4" t="str">
        <f>'Benchmarking Data'!H42</f>
        <v>Partial</v>
      </c>
      <c r="F42" s="4">
        <f>IF('Benchmarking Data'!G42="Available", 'Benchmarking Data'!I42, IF('Benchmarking Data'!G42="Yes", 'Benchmarking Data'!I42, IF('Benchmarking Data'!G42="Partial", 0.5*'Benchmarking Data'!I42, 0)))</f>
        <v>3.5</v>
      </c>
      <c r="G42" s="4">
        <f>IF('Benchmarking Data'!H42="Available", 'Benchmarking Data'!I42, IF('Benchmarking Data'!H42="Yes", 'Benchmarking Data'!I42, IF('Benchmarking Data'!H42="Partial", 0.5*'Benchmarking Data'!I42, 0)))</f>
        <v>3.5</v>
      </c>
    </row>
    <row r="43" spans="1:7" ht="15.75" customHeight="1">
      <c r="A43" s="4" t="str">
        <f>'Benchmarking Data'!A43</f>
        <v>BMK-1042</v>
      </c>
      <c r="B43" s="4" t="str">
        <f>'Benchmarking Data'!F43</f>
        <v>Custom ETL Scripting Support</v>
      </c>
      <c r="C43" s="4">
        <f>'Benchmarking Data'!I43</f>
        <v>7</v>
      </c>
      <c r="D43" s="4" t="str">
        <f>'Benchmarking Data'!G43</f>
        <v>Partial</v>
      </c>
      <c r="E43" s="4" t="str">
        <f>'Benchmarking Data'!H43</f>
        <v>Available</v>
      </c>
      <c r="F43" s="4">
        <f>IF('Benchmarking Data'!G43="Available", 'Benchmarking Data'!I43, IF('Benchmarking Data'!G43="Yes", 'Benchmarking Data'!I43, IF('Benchmarking Data'!G43="Partial", 0.5*'Benchmarking Data'!I43, 0)))</f>
        <v>3.5</v>
      </c>
      <c r="G43" s="4">
        <f>IF('Benchmarking Data'!H43="Available", 'Benchmarking Data'!I43, IF('Benchmarking Data'!H43="Yes", 'Benchmarking Data'!I43, IF('Benchmarking Data'!H43="Partial", 0.5*'Benchmarking Data'!I43, 0)))</f>
        <v>7</v>
      </c>
    </row>
    <row r="44" spans="1:7" ht="15.75" customHeight="1">
      <c r="A44" s="4" t="str">
        <f>'Benchmarking Data'!A44</f>
        <v>BMK-1043</v>
      </c>
      <c r="B44" s="4" t="str">
        <f>'Benchmarking Data'!F44</f>
        <v>Role-Based Access Control (RBAC)</v>
      </c>
      <c r="C44" s="4">
        <f>'Benchmarking Data'!I44</f>
        <v>10</v>
      </c>
      <c r="D44" s="4" t="str">
        <f>'Benchmarking Data'!G44</f>
        <v>Available</v>
      </c>
      <c r="E44" s="4" t="str">
        <f>'Benchmarking Data'!H44</f>
        <v>Partial</v>
      </c>
      <c r="F44" s="4">
        <f>IF('Benchmarking Data'!G44="Available", 'Benchmarking Data'!I44, IF('Benchmarking Data'!G44="Yes", 'Benchmarking Data'!I44, IF('Benchmarking Data'!G44="Partial", 0.5*'Benchmarking Data'!I44, 0)))</f>
        <v>10</v>
      </c>
      <c r="G44" s="4">
        <f>IF('Benchmarking Data'!H44="Available", 'Benchmarking Data'!I44, IF('Benchmarking Data'!H44="Yes", 'Benchmarking Data'!I44, IF('Benchmarking Data'!H44="Partial", 0.5*'Benchmarking Data'!I44, 0)))</f>
        <v>5</v>
      </c>
    </row>
    <row r="45" spans="1:7" ht="15.75" customHeight="1">
      <c r="A45" s="4" t="str">
        <f>'Benchmarking Data'!A45</f>
        <v>BMK-1044</v>
      </c>
      <c r="B45" s="4" t="str">
        <f>'Benchmarking Data'!F45</f>
        <v>SOC2 Type II Compliance</v>
      </c>
      <c r="C45" s="4">
        <f>'Benchmarking Data'!I45</f>
        <v>10</v>
      </c>
      <c r="D45" s="4" t="str">
        <f>'Benchmarking Data'!G45</f>
        <v>Available</v>
      </c>
      <c r="E45" s="4" t="str">
        <f>'Benchmarking Data'!H45</f>
        <v>Not Available</v>
      </c>
      <c r="F45" s="4">
        <f>IF('Benchmarking Data'!G45="Available", 'Benchmarking Data'!I45, IF('Benchmarking Data'!G45="Yes", 'Benchmarking Data'!I45, IF('Benchmarking Data'!G45="Partial", 0.5*'Benchmarking Data'!I45, 0)))</f>
        <v>10</v>
      </c>
      <c r="G45" s="4">
        <f>IF('Benchmarking Data'!H45="Available", 'Benchmarking Data'!I45, IF('Benchmarking Data'!H45="Yes", 'Benchmarking Data'!I45, IF('Benchmarking Data'!H45="Partial", 0.5*'Benchmarking Data'!I45, 0)))</f>
        <v>0</v>
      </c>
    </row>
    <row r="46" spans="1:7" ht="15.75" customHeight="1">
      <c r="A46" s="4" t="str">
        <f>'Benchmarking Data'!A46</f>
        <v>BMK-1045</v>
      </c>
      <c r="B46" s="4" t="str">
        <f>'Benchmarking Data'!F46</f>
        <v>Single Sign-On (SSO / SAML)</v>
      </c>
      <c r="C46" s="4">
        <f>'Benchmarking Data'!I46</f>
        <v>6</v>
      </c>
      <c r="D46" s="4" t="str">
        <f>'Benchmarking Data'!G46</f>
        <v>Available</v>
      </c>
      <c r="E46" s="4" t="str">
        <f>'Benchmarking Data'!H46</f>
        <v>Not Available</v>
      </c>
      <c r="F46" s="4">
        <f>IF('Benchmarking Data'!G46="Available", 'Benchmarking Data'!I46, IF('Benchmarking Data'!G46="Yes", 'Benchmarking Data'!I46, IF('Benchmarking Data'!G46="Partial", 0.5*'Benchmarking Data'!I46, 0)))</f>
        <v>6</v>
      </c>
      <c r="G46" s="4">
        <f>IF('Benchmarking Data'!H46="Available", 'Benchmarking Data'!I46, IF('Benchmarking Data'!H46="Yes", 'Benchmarking Data'!I46, IF('Benchmarking Data'!H46="Partial", 0.5*'Benchmarking Data'!I46, 0)))</f>
        <v>0</v>
      </c>
    </row>
    <row r="47" spans="1:7" ht="15.75" customHeight="1">
      <c r="A47" s="4" t="str">
        <f>'Benchmarking Data'!A47</f>
        <v>BMK-1046</v>
      </c>
      <c r="B47" s="4" t="str">
        <f>'Benchmarking Data'!F47</f>
        <v>Data Masking &amp; Encryption at Rest</v>
      </c>
      <c r="C47" s="4">
        <f>'Benchmarking Data'!I47</f>
        <v>10</v>
      </c>
      <c r="D47" s="4" t="str">
        <f>'Benchmarking Data'!G47</f>
        <v>Available</v>
      </c>
      <c r="E47" s="4" t="str">
        <f>'Benchmarking Data'!H47</f>
        <v>Not Available</v>
      </c>
      <c r="F47" s="4">
        <f>IF('Benchmarking Data'!G47="Available", 'Benchmarking Data'!I47, IF('Benchmarking Data'!G47="Yes", 'Benchmarking Data'!I47, IF('Benchmarking Data'!G47="Partial", 0.5*'Benchmarking Data'!I47, 0)))</f>
        <v>10</v>
      </c>
      <c r="G47" s="4">
        <f>IF('Benchmarking Data'!H47="Available", 'Benchmarking Data'!I47, IF('Benchmarking Data'!H47="Yes", 'Benchmarking Data'!I47, IF('Benchmarking Data'!H47="Partial", 0.5*'Benchmarking Data'!I47, 0)))</f>
        <v>0</v>
      </c>
    </row>
    <row r="48" spans="1:7" ht="15.75" customHeight="1">
      <c r="A48" s="4" t="str">
        <f>'Benchmarking Data'!A48</f>
        <v>BMK-1047</v>
      </c>
      <c r="B48" s="4" t="str">
        <f>'Benchmarking Data'!F48</f>
        <v>Audit Logging &amp; Activity Trails</v>
      </c>
      <c r="C48" s="4">
        <f>'Benchmarking Data'!I48</f>
        <v>7</v>
      </c>
      <c r="D48" s="4" t="str">
        <f>'Benchmarking Data'!G48</f>
        <v>Partial</v>
      </c>
      <c r="E48" s="4" t="str">
        <f>'Benchmarking Data'!H48</f>
        <v>Not Available</v>
      </c>
      <c r="F48" s="4">
        <f>IF('Benchmarking Data'!G48="Available", 'Benchmarking Data'!I48, IF('Benchmarking Data'!G48="Yes", 'Benchmarking Data'!I48, IF('Benchmarking Data'!G48="Partial", 0.5*'Benchmarking Data'!I48, 0)))</f>
        <v>3.5</v>
      </c>
      <c r="G48" s="4">
        <f>IF('Benchmarking Data'!H48="Available", 'Benchmarking Data'!I48, IF('Benchmarking Data'!H48="Yes", 'Benchmarking Data'!I48, IF('Benchmarking Data'!H48="Partial", 0.5*'Benchmarking Data'!I48, 0)))</f>
        <v>0</v>
      </c>
    </row>
    <row r="49" spans="1:7" ht="15.75" customHeight="1">
      <c r="A49" s="4" t="str">
        <f>'Benchmarking Data'!A49</f>
        <v>BMK-1048</v>
      </c>
      <c r="B49" s="4" t="str">
        <f>'Benchmarking Data'!F49</f>
        <v>Native iOS &amp; Android App</v>
      </c>
      <c r="C49" s="4">
        <f>'Benchmarking Data'!I49</f>
        <v>10</v>
      </c>
      <c r="D49" s="4" t="str">
        <f>'Benchmarking Data'!G49</f>
        <v>Partial</v>
      </c>
      <c r="E49" s="4" t="str">
        <f>'Benchmarking Data'!H49</f>
        <v>Not Available</v>
      </c>
      <c r="F49" s="4">
        <f>IF('Benchmarking Data'!G49="Available", 'Benchmarking Data'!I49, IF('Benchmarking Data'!G49="Yes", 'Benchmarking Data'!I49, IF('Benchmarking Data'!G49="Partial", 0.5*'Benchmarking Data'!I49, 0)))</f>
        <v>5</v>
      </c>
      <c r="G49" s="4">
        <f>IF('Benchmarking Data'!H49="Available", 'Benchmarking Data'!I49, IF('Benchmarking Data'!H49="Yes", 'Benchmarking Data'!I49, IF('Benchmarking Data'!H49="Partial", 0.5*'Benchmarking Data'!I49, 0)))</f>
        <v>0</v>
      </c>
    </row>
    <row r="50" spans="1:7" ht="15.75" customHeight="1">
      <c r="A50" s="4" t="str">
        <f>'Benchmarking Data'!A50</f>
        <v>BMK-1049</v>
      </c>
      <c r="B50" s="4" t="str">
        <f>'Benchmarking Data'!F50</f>
        <v>Dark Mode / Custom Themes</v>
      </c>
      <c r="C50" s="4">
        <f>'Benchmarking Data'!I50</f>
        <v>9</v>
      </c>
      <c r="D50" s="4" t="str">
        <f>'Benchmarking Data'!G50</f>
        <v>Partial</v>
      </c>
      <c r="E50" s="4" t="str">
        <f>'Benchmarking Data'!H50</f>
        <v>Available</v>
      </c>
      <c r="F50" s="4">
        <f>IF('Benchmarking Data'!G50="Available", 'Benchmarking Data'!I50, IF('Benchmarking Data'!G50="Yes", 'Benchmarking Data'!I50, IF('Benchmarking Data'!G50="Partial", 0.5*'Benchmarking Data'!I50, 0)))</f>
        <v>4.5</v>
      </c>
      <c r="G50" s="4">
        <f>IF('Benchmarking Data'!H50="Available", 'Benchmarking Data'!I50, IF('Benchmarking Data'!H50="Yes", 'Benchmarking Data'!I50, IF('Benchmarking Data'!H50="Partial", 0.5*'Benchmarking Data'!I50, 0)))</f>
        <v>9</v>
      </c>
    </row>
    <row r="51" spans="1:7" ht="15.75" customHeight="1">
      <c r="A51" s="4" t="str">
        <f>'Benchmarking Data'!A51</f>
        <v>BMK-1050</v>
      </c>
      <c r="B51" s="4" t="str">
        <f>'Benchmarking Data'!F51</f>
        <v>Collaborative Comments &amp; Tagging</v>
      </c>
      <c r="C51" s="4">
        <f>'Benchmarking Data'!I51</f>
        <v>7</v>
      </c>
      <c r="D51" s="4" t="str">
        <f>'Benchmarking Data'!G51</f>
        <v>Partial</v>
      </c>
      <c r="E51" s="4" t="str">
        <f>'Benchmarking Data'!H51</f>
        <v>Not Available</v>
      </c>
      <c r="F51" s="4">
        <f>IF('Benchmarking Data'!G51="Available", 'Benchmarking Data'!I51, IF('Benchmarking Data'!G51="Yes", 'Benchmarking Data'!I51, IF('Benchmarking Data'!G51="Partial", 0.5*'Benchmarking Data'!I51, 0)))</f>
        <v>3.5</v>
      </c>
      <c r="G51" s="4">
        <f>IF('Benchmarking Data'!H51="Available", 'Benchmarking Data'!I51, IF('Benchmarking Data'!H51="Yes", 'Benchmarking Data'!I51, IF('Benchmarking Data'!H51="Partial", 0.5*'Benchmarking Data'!I51, 0)))</f>
        <v>0</v>
      </c>
    </row>
    <row r="52" spans="1:7" ht="15.75" customHeight="1">
      <c r="A52" s="4" t="str">
        <f>'Benchmarking Data'!A52</f>
        <v>BMK-1051</v>
      </c>
      <c r="B52" s="4" t="str">
        <f>'Benchmarking Data'!F52</f>
        <v>Multi-Language Localization</v>
      </c>
      <c r="C52" s="4">
        <f>'Benchmarking Data'!I52</f>
        <v>9</v>
      </c>
      <c r="D52" s="4" t="str">
        <f>'Benchmarking Data'!G52</f>
        <v>Available</v>
      </c>
      <c r="E52" s="4" t="str">
        <f>'Benchmarking Data'!H52</f>
        <v>Partial</v>
      </c>
      <c r="F52" s="4">
        <f>IF('Benchmarking Data'!G52="Available", 'Benchmarking Data'!I52, IF('Benchmarking Data'!G52="Yes", 'Benchmarking Data'!I52, IF('Benchmarking Data'!G52="Partial", 0.5*'Benchmarking Data'!I52, 0)))</f>
        <v>9</v>
      </c>
      <c r="G52" s="4">
        <f>IF('Benchmarking Data'!H52="Available", 'Benchmarking Data'!I52, IF('Benchmarking Data'!H52="Yes", 'Benchmarking Data'!I52, IF('Benchmarking Data'!H52="Partial", 0.5*'Benchmarking Data'!I52, 0)))</f>
        <v>4.5</v>
      </c>
    </row>
    <row r="53" spans="1:7" ht="15.75" customHeight="1">
      <c r="A53" s="4" t="str">
        <f>'Benchmarking Data'!A53</f>
        <v>BMK-1052</v>
      </c>
      <c r="B53" s="4" t="str">
        <f>'Benchmarking Data'!F53</f>
        <v>Custom White-Labeling</v>
      </c>
      <c r="C53" s="4">
        <f>'Benchmarking Data'!I53</f>
        <v>10</v>
      </c>
      <c r="D53" s="4" t="str">
        <f>'Benchmarking Data'!G53</f>
        <v>Available</v>
      </c>
      <c r="E53" s="4" t="str">
        <f>'Benchmarking Data'!H53</f>
        <v>Partial</v>
      </c>
      <c r="F53" s="4">
        <f>IF('Benchmarking Data'!G53="Available", 'Benchmarking Data'!I53, IF('Benchmarking Data'!G53="Yes", 'Benchmarking Data'!I53, IF('Benchmarking Data'!G53="Partial", 0.5*'Benchmarking Data'!I53, 0)))</f>
        <v>10</v>
      </c>
      <c r="G53" s="4">
        <f>IF('Benchmarking Data'!H53="Available", 'Benchmarking Data'!I53, IF('Benchmarking Data'!H53="Yes", 'Benchmarking Data'!I53, IF('Benchmarking Data'!H53="Partial", 0.5*'Benchmarking Data'!I53, 0)))</f>
        <v>5</v>
      </c>
    </row>
    <row r="54" spans="1:7" ht="15.75" customHeight="1">
      <c r="A54" s="4" t="str">
        <f>'Benchmarking Data'!A54</f>
        <v>BMK-1053</v>
      </c>
      <c r="B54" s="4" t="str">
        <f>'Benchmarking Data'!F54</f>
        <v>Real-Time Data Streaming</v>
      </c>
      <c r="C54" s="4">
        <f>'Benchmarking Data'!I54</f>
        <v>6</v>
      </c>
      <c r="D54" s="4" t="str">
        <f>'Benchmarking Data'!G54</f>
        <v>Available</v>
      </c>
      <c r="E54" s="4" t="str">
        <f>'Benchmarking Data'!H54</f>
        <v>Available</v>
      </c>
      <c r="F54" s="4">
        <f>IF('Benchmarking Data'!G54="Available", 'Benchmarking Data'!I54, IF('Benchmarking Data'!G54="Yes", 'Benchmarking Data'!I54, IF('Benchmarking Data'!G54="Partial", 0.5*'Benchmarking Data'!I54, 0)))</f>
        <v>6</v>
      </c>
      <c r="G54" s="4">
        <f>IF('Benchmarking Data'!H54="Available", 'Benchmarking Data'!I54, IF('Benchmarking Data'!H54="Yes", 'Benchmarking Data'!I54, IF('Benchmarking Data'!H54="Partial", 0.5*'Benchmarking Data'!I54, 0)))</f>
        <v>6</v>
      </c>
    </row>
    <row r="55" spans="1:7" ht="15.75" customHeight="1">
      <c r="A55" s="4" t="str">
        <f>'Benchmarking Data'!A55</f>
        <v>BMK-1054</v>
      </c>
      <c r="B55" s="4" t="str">
        <f>'Benchmarking Data'!F55</f>
        <v>Custom Dashboard Builder</v>
      </c>
      <c r="C55" s="4">
        <f>'Benchmarking Data'!I55</f>
        <v>6</v>
      </c>
      <c r="D55" s="4" t="str">
        <f>'Benchmarking Data'!G55</f>
        <v>Available</v>
      </c>
      <c r="E55" s="4" t="str">
        <f>'Benchmarking Data'!H55</f>
        <v>Partial</v>
      </c>
      <c r="F55" s="4">
        <f>IF('Benchmarking Data'!G55="Available", 'Benchmarking Data'!I55, IF('Benchmarking Data'!G55="Yes", 'Benchmarking Data'!I55, IF('Benchmarking Data'!G55="Partial", 0.5*'Benchmarking Data'!I55, 0)))</f>
        <v>6</v>
      </c>
      <c r="G55" s="4">
        <f>IF('Benchmarking Data'!H55="Available", 'Benchmarking Data'!I55, IF('Benchmarking Data'!H55="Yes", 'Benchmarking Data'!I55, IF('Benchmarking Data'!H55="Partial", 0.5*'Benchmarking Data'!I55, 0)))</f>
        <v>3</v>
      </c>
    </row>
    <row r="56" spans="1:7" ht="15.75" customHeight="1">
      <c r="A56" s="4" t="str">
        <f>'Benchmarking Data'!A56</f>
        <v>BMK-1055</v>
      </c>
      <c r="B56" s="4" t="str">
        <f>'Benchmarking Data'!F56</f>
        <v>Ad-Hoc Query Engine</v>
      </c>
      <c r="C56" s="4">
        <f>'Benchmarking Data'!I56</f>
        <v>8</v>
      </c>
      <c r="D56" s="4" t="str">
        <f>'Benchmarking Data'!G56</f>
        <v>Partial</v>
      </c>
      <c r="E56" s="4" t="str">
        <f>'Benchmarking Data'!H56</f>
        <v>Not Available</v>
      </c>
      <c r="F56" s="4">
        <f>IF('Benchmarking Data'!G56="Available", 'Benchmarking Data'!I56, IF('Benchmarking Data'!G56="Yes", 'Benchmarking Data'!I56, IF('Benchmarking Data'!G56="Partial", 0.5*'Benchmarking Data'!I56, 0)))</f>
        <v>4</v>
      </c>
      <c r="G56" s="4">
        <f>IF('Benchmarking Data'!H56="Available", 'Benchmarking Data'!I56, IF('Benchmarking Data'!H56="Yes", 'Benchmarking Data'!I56, IF('Benchmarking Data'!H56="Partial", 0.5*'Benchmarking Data'!I56, 0)))</f>
        <v>0</v>
      </c>
    </row>
    <row r="57" spans="1:7" ht="15.75" customHeight="1">
      <c r="A57" s="4" t="str">
        <f>'Benchmarking Data'!A57</f>
        <v>BMK-1056</v>
      </c>
      <c r="B57" s="4" t="str">
        <f>'Benchmarking Data'!F57</f>
        <v>Automated PDF Reporting</v>
      </c>
      <c r="C57" s="4">
        <f>'Benchmarking Data'!I57</f>
        <v>7</v>
      </c>
      <c r="D57" s="4" t="str">
        <f>'Benchmarking Data'!G57</f>
        <v>Available</v>
      </c>
      <c r="E57" s="4" t="str">
        <f>'Benchmarking Data'!H57</f>
        <v>Not Available</v>
      </c>
      <c r="F57" s="4">
        <f>IF('Benchmarking Data'!G57="Available", 'Benchmarking Data'!I57, IF('Benchmarking Data'!G57="Yes", 'Benchmarking Data'!I57, IF('Benchmarking Data'!G57="Partial", 0.5*'Benchmarking Data'!I57, 0)))</f>
        <v>7</v>
      </c>
      <c r="G57" s="4">
        <f>IF('Benchmarking Data'!H57="Available", 'Benchmarking Data'!I57, IF('Benchmarking Data'!H57="Yes", 'Benchmarking Data'!I57, IF('Benchmarking Data'!H57="Partial", 0.5*'Benchmarking Data'!I57, 0)))</f>
        <v>0</v>
      </c>
    </row>
    <row r="58" spans="1:7" ht="15.75" customHeight="1">
      <c r="A58" s="4" t="str">
        <f>'Benchmarking Data'!A58</f>
        <v>BMK-1057</v>
      </c>
      <c r="B58" s="4" t="str">
        <f>'Benchmarking Data'!F58</f>
        <v>Data Export (CSV/XLSX/JSON)</v>
      </c>
      <c r="C58" s="4">
        <f>'Benchmarking Data'!I58</f>
        <v>7</v>
      </c>
      <c r="D58" s="4" t="str">
        <f>'Benchmarking Data'!G58</f>
        <v>Available</v>
      </c>
      <c r="E58" s="4" t="str">
        <f>'Benchmarking Data'!H58</f>
        <v>Not Available</v>
      </c>
      <c r="F58" s="4">
        <f>IF('Benchmarking Data'!G58="Available", 'Benchmarking Data'!I58, IF('Benchmarking Data'!G58="Yes", 'Benchmarking Data'!I58, IF('Benchmarking Data'!G58="Partial", 0.5*'Benchmarking Data'!I58, 0)))</f>
        <v>7</v>
      </c>
      <c r="G58" s="4">
        <f>IF('Benchmarking Data'!H58="Available", 'Benchmarking Data'!I58, IF('Benchmarking Data'!H58="Yes", 'Benchmarking Data'!I58, IF('Benchmarking Data'!H58="Partial", 0.5*'Benchmarking Data'!I58, 0)))</f>
        <v>0</v>
      </c>
    </row>
    <row r="59" spans="1:7" ht="15.75" customHeight="1">
      <c r="A59" s="4" t="str">
        <f>'Benchmarking Data'!A59</f>
        <v>BMK-1058</v>
      </c>
      <c r="B59" s="4" t="str">
        <f>'Benchmarking Data'!F59</f>
        <v>Interactive Drill-Downs</v>
      </c>
      <c r="C59" s="4">
        <f>'Benchmarking Data'!I59</f>
        <v>7</v>
      </c>
      <c r="D59" s="4" t="str">
        <f>'Benchmarking Data'!G59</f>
        <v>Partial</v>
      </c>
      <c r="E59" s="4" t="str">
        <f>'Benchmarking Data'!H59</f>
        <v>Partial</v>
      </c>
      <c r="F59" s="4">
        <f>IF('Benchmarking Data'!G59="Available", 'Benchmarking Data'!I59, IF('Benchmarking Data'!G59="Yes", 'Benchmarking Data'!I59, IF('Benchmarking Data'!G59="Partial", 0.5*'Benchmarking Data'!I59, 0)))</f>
        <v>3.5</v>
      </c>
      <c r="G59" s="4">
        <f>IF('Benchmarking Data'!H59="Available", 'Benchmarking Data'!I59, IF('Benchmarking Data'!H59="Yes", 'Benchmarking Data'!I59, IF('Benchmarking Data'!H59="Partial", 0.5*'Benchmarking Data'!I59, 0)))</f>
        <v>3.5</v>
      </c>
    </row>
    <row r="60" spans="1:7" ht="15.75" customHeight="1">
      <c r="A60" s="4" t="str">
        <f>'Benchmarking Data'!A60</f>
        <v>BMK-1059</v>
      </c>
      <c r="B60" s="4" t="str">
        <f>'Benchmarking Data'!F60</f>
        <v>Predictive Anomaly Detection</v>
      </c>
      <c r="C60" s="4">
        <f>'Benchmarking Data'!I60</f>
        <v>6</v>
      </c>
      <c r="D60" s="4" t="str">
        <f>'Benchmarking Data'!G60</f>
        <v>Partial</v>
      </c>
      <c r="E60" s="4" t="str">
        <f>'Benchmarking Data'!H60</f>
        <v>Partial</v>
      </c>
      <c r="F60" s="4">
        <f>IF('Benchmarking Data'!G60="Available", 'Benchmarking Data'!I60, IF('Benchmarking Data'!G60="Yes", 'Benchmarking Data'!I60, IF('Benchmarking Data'!G60="Partial", 0.5*'Benchmarking Data'!I60, 0)))</f>
        <v>3</v>
      </c>
      <c r="G60" s="4">
        <f>IF('Benchmarking Data'!H60="Available", 'Benchmarking Data'!I60, IF('Benchmarking Data'!H60="Yes", 'Benchmarking Data'!I60, IF('Benchmarking Data'!H60="Partial", 0.5*'Benchmarking Data'!I60, 0)))</f>
        <v>3</v>
      </c>
    </row>
    <row r="61" spans="1:7" ht="15.75" customHeight="1">
      <c r="A61" s="4" t="str">
        <f>'Benchmarking Data'!A61</f>
        <v>BMK-1060</v>
      </c>
      <c r="B61" s="4" t="str">
        <f>'Benchmarking Data'!F61</f>
        <v>Automated Insight Generation</v>
      </c>
      <c r="C61" s="4">
        <f>'Benchmarking Data'!I61</f>
        <v>10</v>
      </c>
      <c r="D61" s="4" t="str">
        <f>'Benchmarking Data'!G61</f>
        <v>Available</v>
      </c>
      <c r="E61" s="4" t="str">
        <f>'Benchmarking Data'!H61</f>
        <v>Not Available</v>
      </c>
      <c r="F61" s="4">
        <f>IF('Benchmarking Data'!G61="Available", 'Benchmarking Data'!I61, IF('Benchmarking Data'!G61="Yes", 'Benchmarking Data'!I61, IF('Benchmarking Data'!G61="Partial", 0.5*'Benchmarking Data'!I61, 0)))</f>
        <v>10</v>
      </c>
      <c r="G61" s="4">
        <f>IF('Benchmarking Data'!H61="Available", 'Benchmarking Data'!I61, IF('Benchmarking Data'!H61="Yes", 'Benchmarking Data'!I61, IF('Benchmarking Data'!H61="Partial", 0.5*'Benchmarking Data'!I61, 0)))</f>
        <v>0</v>
      </c>
    </row>
    <row r="62" spans="1:7" ht="15.75" customHeight="1">
      <c r="A62" s="4" t="str">
        <f>'Benchmarking Data'!A62</f>
        <v>BMK-1061</v>
      </c>
      <c r="B62" s="4" t="str">
        <f>'Benchmarking Data'!F62</f>
        <v>Natural Language Querying (NLQ)</v>
      </c>
      <c r="C62" s="4">
        <f>'Benchmarking Data'!I62</f>
        <v>6</v>
      </c>
      <c r="D62" s="4" t="str">
        <f>'Benchmarking Data'!G62</f>
        <v>Available</v>
      </c>
      <c r="E62" s="4" t="str">
        <f>'Benchmarking Data'!H62</f>
        <v>Not Available</v>
      </c>
      <c r="F62" s="4">
        <f>IF('Benchmarking Data'!G62="Available", 'Benchmarking Data'!I62, IF('Benchmarking Data'!G62="Yes", 'Benchmarking Data'!I62, IF('Benchmarking Data'!G62="Partial", 0.5*'Benchmarking Data'!I62, 0)))</f>
        <v>6</v>
      </c>
      <c r="G62" s="4">
        <f>IF('Benchmarking Data'!H62="Available", 'Benchmarking Data'!I62, IF('Benchmarking Data'!H62="Yes", 'Benchmarking Data'!I62, IF('Benchmarking Data'!H62="Partial", 0.5*'Benchmarking Data'!I62, 0)))</f>
        <v>0</v>
      </c>
    </row>
    <row r="63" spans="1:7" ht="15.75" customHeight="1">
      <c r="A63" s="4" t="str">
        <f>'Benchmarking Data'!A63</f>
        <v>BMK-1062</v>
      </c>
      <c r="B63" s="4" t="str">
        <f>'Benchmarking Data'!F63</f>
        <v>Forecasting &amp; Trend Projection</v>
      </c>
      <c r="C63" s="4">
        <f>'Benchmarking Data'!I63</f>
        <v>10</v>
      </c>
      <c r="D63" s="4" t="str">
        <f>'Benchmarking Data'!G63</f>
        <v>Available</v>
      </c>
      <c r="E63" s="4" t="str">
        <f>'Benchmarking Data'!H63</f>
        <v>Not Available</v>
      </c>
      <c r="F63" s="4">
        <f>IF('Benchmarking Data'!G63="Available", 'Benchmarking Data'!I63, IF('Benchmarking Data'!G63="Yes", 'Benchmarking Data'!I63, IF('Benchmarking Data'!G63="Partial", 0.5*'Benchmarking Data'!I63, 0)))</f>
        <v>10</v>
      </c>
      <c r="G63" s="4">
        <f>IF('Benchmarking Data'!H63="Available", 'Benchmarking Data'!I63, IF('Benchmarking Data'!H63="Yes", 'Benchmarking Data'!I63, IF('Benchmarking Data'!H63="Partial", 0.5*'Benchmarking Data'!I63, 0)))</f>
        <v>0</v>
      </c>
    </row>
    <row r="64" spans="1:7" ht="15.75" customHeight="1">
      <c r="A64" s="4" t="str">
        <f>'Benchmarking Data'!A64</f>
        <v>BMK-1063</v>
      </c>
      <c r="B64" s="4" t="str">
        <f>'Benchmarking Data'!F64</f>
        <v>Smart Alerting &amp; Triggers</v>
      </c>
      <c r="C64" s="4">
        <f>'Benchmarking Data'!I64</f>
        <v>9</v>
      </c>
      <c r="D64" s="4" t="str">
        <f>'Benchmarking Data'!G64</f>
        <v>Available</v>
      </c>
      <c r="E64" s="4" t="str">
        <f>'Benchmarking Data'!H64</f>
        <v>Partial</v>
      </c>
      <c r="F64" s="4">
        <f>IF('Benchmarking Data'!G64="Available", 'Benchmarking Data'!I64, IF('Benchmarking Data'!G64="Yes", 'Benchmarking Data'!I64, IF('Benchmarking Data'!G64="Partial", 0.5*'Benchmarking Data'!I64, 0)))</f>
        <v>9</v>
      </c>
      <c r="G64" s="4">
        <f>IF('Benchmarking Data'!H64="Available", 'Benchmarking Data'!I64, IF('Benchmarking Data'!H64="Yes", 'Benchmarking Data'!I64, IF('Benchmarking Data'!H64="Partial", 0.5*'Benchmarking Data'!I64, 0)))</f>
        <v>4.5</v>
      </c>
    </row>
    <row r="65" spans="1:7" ht="15.75" customHeight="1">
      <c r="A65" s="4" t="str">
        <f>'Benchmarking Data'!A65</f>
        <v>BMK-1064</v>
      </c>
      <c r="B65" s="4" t="str">
        <f>'Benchmarking Data'!F65</f>
        <v>REST API &amp; Webhooks</v>
      </c>
      <c r="C65" s="4">
        <f>'Benchmarking Data'!I65</f>
        <v>6</v>
      </c>
      <c r="D65" s="4" t="str">
        <f>'Benchmarking Data'!G65</f>
        <v>Available</v>
      </c>
      <c r="E65" s="4" t="str">
        <f>'Benchmarking Data'!H65</f>
        <v>Available</v>
      </c>
      <c r="F65" s="4">
        <f>IF('Benchmarking Data'!G65="Available", 'Benchmarking Data'!I65, IF('Benchmarking Data'!G65="Yes", 'Benchmarking Data'!I65, IF('Benchmarking Data'!G65="Partial", 0.5*'Benchmarking Data'!I65, 0)))</f>
        <v>6</v>
      </c>
      <c r="G65" s="4">
        <f>IF('Benchmarking Data'!H65="Available", 'Benchmarking Data'!I65, IF('Benchmarking Data'!H65="Yes", 'Benchmarking Data'!I65, IF('Benchmarking Data'!H65="Partial", 0.5*'Benchmarking Data'!I65, 0)))</f>
        <v>6</v>
      </c>
    </row>
    <row r="66" spans="1:7" ht="15.75" customHeight="1">
      <c r="A66" s="4" t="str">
        <f>'Benchmarking Data'!A66</f>
        <v>BMK-1065</v>
      </c>
      <c r="B66" s="4" t="str">
        <f>'Benchmarking Data'!F66</f>
        <v>Pre-built Salesforce Connector</v>
      </c>
      <c r="C66" s="4">
        <f>'Benchmarking Data'!I66</f>
        <v>6</v>
      </c>
      <c r="D66" s="4" t="str">
        <f>'Benchmarking Data'!G66</f>
        <v>Available</v>
      </c>
      <c r="E66" s="4" t="str">
        <f>'Benchmarking Data'!H66</f>
        <v>Available</v>
      </c>
      <c r="F66" s="4">
        <f>IF('Benchmarking Data'!G66="Available", 'Benchmarking Data'!I66, IF('Benchmarking Data'!G66="Yes", 'Benchmarking Data'!I66, IF('Benchmarking Data'!G66="Partial", 0.5*'Benchmarking Data'!I66, 0)))</f>
        <v>6</v>
      </c>
      <c r="G66" s="4">
        <f>IF('Benchmarking Data'!H66="Available", 'Benchmarking Data'!I66, IF('Benchmarking Data'!H66="Yes", 'Benchmarking Data'!I66, IF('Benchmarking Data'!H66="Partial", 0.5*'Benchmarking Data'!I66, 0)))</f>
        <v>6</v>
      </c>
    </row>
    <row r="67" spans="1:7" ht="15.75" customHeight="1">
      <c r="A67" s="4" t="str">
        <f>'Benchmarking Data'!A67</f>
        <v>BMK-1066</v>
      </c>
      <c r="B67" s="4" t="str">
        <f>'Benchmarking Data'!F67</f>
        <v>Snowflake &amp; BigQuery Sync</v>
      </c>
      <c r="C67" s="4">
        <f>'Benchmarking Data'!I67</f>
        <v>6</v>
      </c>
      <c r="D67" s="4" t="str">
        <f>'Benchmarking Data'!G67</f>
        <v>Partial</v>
      </c>
      <c r="E67" s="4" t="str">
        <f>'Benchmarking Data'!H67</f>
        <v>Partial</v>
      </c>
      <c r="F67" s="4">
        <f>IF('Benchmarking Data'!G67="Available", 'Benchmarking Data'!I67, IF('Benchmarking Data'!G67="Yes", 'Benchmarking Data'!I67, IF('Benchmarking Data'!G67="Partial", 0.5*'Benchmarking Data'!I67, 0)))</f>
        <v>3</v>
      </c>
      <c r="G67" s="4">
        <f>IF('Benchmarking Data'!H67="Available", 'Benchmarking Data'!I67, IF('Benchmarking Data'!H67="Yes", 'Benchmarking Data'!I67, IF('Benchmarking Data'!H67="Partial", 0.5*'Benchmarking Data'!I67, 0)))</f>
        <v>3</v>
      </c>
    </row>
    <row r="68" spans="1:7" ht="15.75" customHeight="1">
      <c r="A68" s="4" t="str">
        <f>'Benchmarking Data'!A68</f>
        <v>BMK-1067</v>
      </c>
      <c r="B68" s="4" t="str">
        <f>'Benchmarking Data'!F68</f>
        <v>Zapier &amp; Make Integration</v>
      </c>
      <c r="C68" s="4">
        <f>'Benchmarking Data'!I68</f>
        <v>7</v>
      </c>
      <c r="D68" s="4" t="str">
        <f>'Benchmarking Data'!G68</f>
        <v>Available</v>
      </c>
      <c r="E68" s="4" t="str">
        <f>'Benchmarking Data'!H68</f>
        <v>Available</v>
      </c>
      <c r="F68" s="4">
        <f>IF('Benchmarking Data'!G68="Available", 'Benchmarking Data'!I68, IF('Benchmarking Data'!G68="Yes", 'Benchmarking Data'!I68, IF('Benchmarking Data'!G68="Partial", 0.5*'Benchmarking Data'!I68, 0)))</f>
        <v>7</v>
      </c>
      <c r="G68" s="4">
        <f>IF('Benchmarking Data'!H68="Available", 'Benchmarking Data'!I68, IF('Benchmarking Data'!H68="Yes", 'Benchmarking Data'!I68, IF('Benchmarking Data'!H68="Partial", 0.5*'Benchmarking Data'!I68, 0)))</f>
        <v>7</v>
      </c>
    </row>
    <row r="69" spans="1:7" ht="15.75" customHeight="1">
      <c r="A69" s="4" t="str">
        <f>'Benchmarking Data'!A69</f>
        <v>BMK-1068</v>
      </c>
      <c r="B69" s="4" t="str">
        <f>'Benchmarking Data'!F69</f>
        <v>Custom ETL Scripting Support</v>
      </c>
      <c r="C69" s="4">
        <f>'Benchmarking Data'!I69</f>
        <v>7</v>
      </c>
      <c r="D69" s="4" t="str">
        <f>'Benchmarking Data'!G69</f>
        <v>Partial</v>
      </c>
      <c r="E69" s="4" t="str">
        <f>'Benchmarking Data'!H69</f>
        <v>Partial</v>
      </c>
      <c r="F69" s="4">
        <f>IF('Benchmarking Data'!G69="Available", 'Benchmarking Data'!I69, IF('Benchmarking Data'!G69="Yes", 'Benchmarking Data'!I69, IF('Benchmarking Data'!G69="Partial", 0.5*'Benchmarking Data'!I69, 0)))</f>
        <v>3.5</v>
      </c>
      <c r="G69" s="4">
        <f>IF('Benchmarking Data'!H69="Available", 'Benchmarking Data'!I69, IF('Benchmarking Data'!H69="Yes", 'Benchmarking Data'!I69, IF('Benchmarking Data'!H69="Partial", 0.5*'Benchmarking Data'!I69, 0)))</f>
        <v>3.5</v>
      </c>
    </row>
    <row r="70" spans="1:7" ht="15.75" customHeight="1">
      <c r="A70" s="4" t="str">
        <f>'Benchmarking Data'!A70</f>
        <v>BMK-1069</v>
      </c>
      <c r="B70" s="4" t="str">
        <f>'Benchmarking Data'!F70</f>
        <v>Role-Based Access Control (RBAC)</v>
      </c>
      <c r="C70" s="4">
        <f>'Benchmarking Data'!I70</f>
        <v>10</v>
      </c>
      <c r="D70" s="4" t="str">
        <f>'Benchmarking Data'!G70</f>
        <v>Available</v>
      </c>
      <c r="E70" s="4" t="str">
        <f>'Benchmarking Data'!H70</f>
        <v>Partial</v>
      </c>
      <c r="F70" s="4">
        <f>IF('Benchmarking Data'!G70="Available", 'Benchmarking Data'!I70, IF('Benchmarking Data'!G70="Yes", 'Benchmarking Data'!I70, IF('Benchmarking Data'!G70="Partial", 0.5*'Benchmarking Data'!I70, 0)))</f>
        <v>10</v>
      </c>
      <c r="G70" s="4">
        <f>IF('Benchmarking Data'!H70="Available", 'Benchmarking Data'!I70, IF('Benchmarking Data'!H70="Yes", 'Benchmarking Data'!I70, IF('Benchmarking Data'!H70="Partial", 0.5*'Benchmarking Data'!I70, 0)))</f>
        <v>5</v>
      </c>
    </row>
    <row r="71" spans="1:7" ht="15.75" customHeight="1">
      <c r="A71" s="4" t="str">
        <f>'Benchmarking Data'!A71</f>
        <v>BMK-1070</v>
      </c>
      <c r="B71" s="4" t="str">
        <f>'Benchmarking Data'!F71</f>
        <v>SOC2 Type II Compliance</v>
      </c>
      <c r="C71" s="4">
        <f>'Benchmarking Data'!I71</f>
        <v>10</v>
      </c>
      <c r="D71" s="4" t="str">
        <f>'Benchmarking Data'!G71</f>
        <v>Partial</v>
      </c>
      <c r="E71" s="4" t="str">
        <f>'Benchmarking Data'!H71</f>
        <v>Partial</v>
      </c>
      <c r="F71" s="4">
        <f>IF('Benchmarking Data'!G71="Available", 'Benchmarking Data'!I71, IF('Benchmarking Data'!G71="Yes", 'Benchmarking Data'!I71, IF('Benchmarking Data'!G71="Partial", 0.5*'Benchmarking Data'!I71, 0)))</f>
        <v>5</v>
      </c>
      <c r="G71" s="4">
        <f>IF('Benchmarking Data'!H71="Available", 'Benchmarking Data'!I71, IF('Benchmarking Data'!H71="Yes", 'Benchmarking Data'!I71, IF('Benchmarking Data'!H71="Partial", 0.5*'Benchmarking Data'!I71, 0)))</f>
        <v>5</v>
      </c>
    </row>
    <row r="72" spans="1:7" ht="15.75" customHeight="1">
      <c r="A72" s="4" t="str">
        <f>'Benchmarking Data'!A72</f>
        <v>BMK-1071</v>
      </c>
      <c r="B72" s="4" t="str">
        <f>'Benchmarking Data'!F72</f>
        <v>Single Sign-On (SSO / SAML)</v>
      </c>
      <c r="C72" s="4">
        <f>'Benchmarking Data'!I72</f>
        <v>6</v>
      </c>
      <c r="D72" s="4" t="str">
        <f>'Benchmarking Data'!G72</f>
        <v>Available</v>
      </c>
      <c r="E72" s="4" t="str">
        <f>'Benchmarking Data'!H72</f>
        <v>Partial</v>
      </c>
      <c r="F72" s="4">
        <f>IF('Benchmarking Data'!G72="Available", 'Benchmarking Data'!I72, IF('Benchmarking Data'!G72="Yes", 'Benchmarking Data'!I72, IF('Benchmarking Data'!G72="Partial", 0.5*'Benchmarking Data'!I72, 0)))</f>
        <v>6</v>
      </c>
      <c r="G72" s="4">
        <f>IF('Benchmarking Data'!H72="Available", 'Benchmarking Data'!I72, IF('Benchmarking Data'!H72="Yes", 'Benchmarking Data'!I72, IF('Benchmarking Data'!H72="Partial", 0.5*'Benchmarking Data'!I72, 0)))</f>
        <v>3</v>
      </c>
    </row>
    <row r="73" spans="1:7" ht="15.75" customHeight="1">
      <c r="A73" s="4" t="str">
        <f>'Benchmarking Data'!A73</f>
        <v>BMK-1072</v>
      </c>
      <c r="B73" s="4" t="str">
        <f>'Benchmarking Data'!F73</f>
        <v>Data Masking &amp; Encryption at Rest</v>
      </c>
      <c r="C73" s="4">
        <f>'Benchmarking Data'!I73</f>
        <v>10</v>
      </c>
      <c r="D73" s="4" t="str">
        <f>'Benchmarking Data'!G73</f>
        <v>Available</v>
      </c>
      <c r="E73" s="4" t="str">
        <f>'Benchmarking Data'!H73</f>
        <v>Partial</v>
      </c>
      <c r="F73" s="4">
        <f>IF('Benchmarking Data'!G73="Available", 'Benchmarking Data'!I73, IF('Benchmarking Data'!G73="Yes", 'Benchmarking Data'!I73, IF('Benchmarking Data'!G73="Partial", 0.5*'Benchmarking Data'!I73, 0)))</f>
        <v>10</v>
      </c>
      <c r="G73" s="4">
        <f>IF('Benchmarking Data'!H73="Available", 'Benchmarking Data'!I73, IF('Benchmarking Data'!H73="Yes", 'Benchmarking Data'!I73, IF('Benchmarking Data'!H73="Partial", 0.5*'Benchmarking Data'!I73, 0)))</f>
        <v>5</v>
      </c>
    </row>
    <row r="74" spans="1:7" ht="15.75" customHeight="1">
      <c r="A74" s="4" t="str">
        <f>'Benchmarking Data'!A74</f>
        <v>BMK-1073</v>
      </c>
      <c r="B74" s="4" t="str">
        <f>'Benchmarking Data'!F74</f>
        <v>Audit Logging &amp; Activity Trails</v>
      </c>
      <c r="C74" s="4">
        <f>'Benchmarking Data'!I74</f>
        <v>7</v>
      </c>
      <c r="D74" s="4" t="str">
        <f>'Benchmarking Data'!G74</f>
        <v>Partial</v>
      </c>
      <c r="E74" s="4" t="str">
        <f>'Benchmarking Data'!H74</f>
        <v>Not Available</v>
      </c>
      <c r="F74" s="4">
        <f>IF('Benchmarking Data'!G74="Available", 'Benchmarking Data'!I74, IF('Benchmarking Data'!G74="Yes", 'Benchmarking Data'!I74, IF('Benchmarking Data'!G74="Partial", 0.5*'Benchmarking Data'!I74, 0)))</f>
        <v>3.5</v>
      </c>
      <c r="G74" s="4">
        <f>IF('Benchmarking Data'!H74="Available", 'Benchmarking Data'!I74, IF('Benchmarking Data'!H74="Yes", 'Benchmarking Data'!I74, IF('Benchmarking Data'!H74="Partial", 0.5*'Benchmarking Data'!I74, 0)))</f>
        <v>0</v>
      </c>
    </row>
    <row r="75" spans="1:7" ht="15.75" customHeight="1">
      <c r="A75" s="4" t="str">
        <f>'Benchmarking Data'!A75</f>
        <v>BMK-1074</v>
      </c>
      <c r="B75" s="4" t="str">
        <f>'Benchmarking Data'!F75</f>
        <v>Native iOS &amp; Android App</v>
      </c>
      <c r="C75" s="4">
        <f>'Benchmarking Data'!I75</f>
        <v>10</v>
      </c>
      <c r="D75" s="4" t="str">
        <f>'Benchmarking Data'!G75</f>
        <v>Available</v>
      </c>
      <c r="E75" s="4" t="str">
        <f>'Benchmarking Data'!H75</f>
        <v>Available</v>
      </c>
      <c r="F75" s="4">
        <f>IF('Benchmarking Data'!G75="Available", 'Benchmarking Data'!I75, IF('Benchmarking Data'!G75="Yes", 'Benchmarking Data'!I75, IF('Benchmarking Data'!G75="Partial", 0.5*'Benchmarking Data'!I75, 0)))</f>
        <v>10</v>
      </c>
      <c r="G75" s="4">
        <f>IF('Benchmarking Data'!H75="Available", 'Benchmarking Data'!I75, IF('Benchmarking Data'!H75="Yes", 'Benchmarking Data'!I75, IF('Benchmarking Data'!H75="Partial", 0.5*'Benchmarking Data'!I75, 0)))</f>
        <v>10</v>
      </c>
    </row>
    <row r="76" spans="1:7" ht="15.75" customHeight="1">
      <c r="A76" s="4" t="str">
        <f>'Benchmarking Data'!A76</f>
        <v>BMK-1075</v>
      </c>
      <c r="B76" s="4" t="str">
        <f>'Benchmarking Data'!F76</f>
        <v>Dark Mode / Custom Themes</v>
      </c>
      <c r="C76" s="4">
        <f>'Benchmarking Data'!I76</f>
        <v>9</v>
      </c>
      <c r="D76" s="4" t="str">
        <f>'Benchmarking Data'!G76</f>
        <v>Partial</v>
      </c>
      <c r="E76" s="4" t="str">
        <f>'Benchmarking Data'!H76</f>
        <v>Partial</v>
      </c>
      <c r="F76" s="4">
        <f>IF('Benchmarking Data'!G76="Available", 'Benchmarking Data'!I76, IF('Benchmarking Data'!G76="Yes", 'Benchmarking Data'!I76, IF('Benchmarking Data'!G76="Partial", 0.5*'Benchmarking Data'!I76, 0)))</f>
        <v>4.5</v>
      </c>
      <c r="G76" s="4">
        <f>IF('Benchmarking Data'!H76="Available", 'Benchmarking Data'!I76, IF('Benchmarking Data'!H76="Yes", 'Benchmarking Data'!I76, IF('Benchmarking Data'!H76="Partial", 0.5*'Benchmarking Data'!I76, 0)))</f>
        <v>4.5</v>
      </c>
    </row>
    <row r="77" spans="1:7" ht="15.75" customHeight="1">
      <c r="A77" s="4" t="str">
        <f>'Benchmarking Data'!A77</f>
        <v>BMK-1076</v>
      </c>
      <c r="B77" s="4" t="str">
        <f>'Benchmarking Data'!F77</f>
        <v>Collaborative Comments &amp; Tagging</v>
      </c>
      <c r="C77" s="4">
        <f>'Benchmarking Data'!I77</f>
        <v>7</v>
      </c>
      <c r="D77" s="4" t="str">
        <f>'Benchmarking Data'!G77</f>
        <v>Partial</v>
      </c>
      <c r="E77" s="4" t="str">
        <f>'Benchmarking Data'!H77</f>
        <v>Not Available</v>
      </c>
      <c r="F77" s="4">
        <f>IF('Benchmarking Data'!G77="Available", 'Benchmarking Data'!I77, IF('Benchmarking Data'!G77="Yes", 'Benchmarking Data'!I77, IF('Benchmarking Data'!G77="Partial", 0.5*'Benchmarking Data'!I77, 0)))</f>
        <v>3.5</v>
      </c>
      <c r="G77" s="4">
        <f>IF('Benchmarking Data'!H77="Available", 'Benchmarking Data'!I77, IF('Benchmarking Data'!H77="Yes", 'Benchmarking Data'!I77, IF('Benchmarking Data'!H77="Partial", 0.5*'Benchmarking Data'!I77, 0)))</f>
        <v>0</v>
      </c>
    </row>
    <row r="78" spans="1:7" ht="15.75" customHeight="1">
      <c r="A78" s="4" t="str">
        <f>'Benchmarking Data'!A78</f>
        <v>BMK-1077</v>
      </c>
      <c r="B78" s="4" t="str">
        <f>'Benchmarking Data'!F78</f>
        <v>Multi-Language Localization</v>
      </c>
      <c r="C78" s="4">
        <f>'Benchmarking Data'!I78</f>
        <v>9</v>
      </c>
      <c r="D78" s="4" t="str">
        <f>'Benchmarking Data'!G78</f>
        <v>Partial</v>
      </c>
      <c r="E78" s="4" t="str">
        <f>'Benchmarking Data'!H78</f>
        <v>Partial</v>
      </c>
      <c r="F78" s="4">
        <f>IF('Benchmarking Data'!G78="Available", 'Benchmarking Data'!I78, IF('Benchmarking Data'!G78="Yes", 'Benchmarking Data'!I78, IF('Benchmarking Data'!G78="Partial", 0.5*'Benchmarking Data'!I78, 0)))</f>
        <v>4.5</v>
      </c>
      <c r="G78" s="4">
        <f>IF('Benchmarking Data'!H78="Available", 'Benchmarking Data'!I78, IF('Benchmarking Data'!H78="Yes", 'Benchmarking Data'!I78, IF('Benchmarking Data'!H78="Partial", 0.5*'Benchmarking Data'!I78, 0)))</f>
        <v>4.5</v>
      </c>
    </row>
    <row r="79" spans="1:7" ht="15.75" customHeight="1">
      <c r="A79" s="4" t="str">
        <f>'Benchmarking Data'!A79</f>
        <v>BMK-1078</v>
      </c>
      <c r="B79" s="4" t="str">
        <f>'Benchmarking Data'!F79</f>
        <v>Custom White-Labeling</v>
      </c>
      <c r="C79" s="4">
        <f>'Benchmarking Data'!I79</f>
        <v>10</v>
      </c>
      <c r="D79" s="4" t="str">
        <f>'Benchmarking Data'!G79</f>
        <v>Available</v>
      </c>
      <c r="E79" s="4" t="str">
        <f>'Benchmarking Data'!H79</f>
        <v>Partial</v>
      </c>
      <c r="F79" s="4">
        <f>IF('Benchmarking Data'!G79="Available", 'Benchmarking Data'!I79, IF('Benchmarking Data'!G79="Yes", 'Benchmarking Data'!I79, IF('Benchmarking Data'!G79="Partial", 0.5*'Benchmarking Data'!I79, 0)))</f>
        <v>10</v>
      </c>
      <c r="G79" s="4">
        <f>IF('Benchmarking Data'!H79="Available", 'Benchmarking Data'!I79, IF('Benchmarking Data'!H79="Yes", 'Benchmarking Data'!I79, IF('Benchmarking Data'!H79="Partial", 0.5*'Benchmarking Data'!I79, 0)))</f>
        <v>5</v>
      </c>
    </row>
    <row r="80" spans="1:7" ht="15.75" customHeight="1">
      <c r="A80" s="4" t="str">
        <f>'Benchmarking Data'!A80</f>
        <v>BMK-1079</v>
      </c>
      <c r="B80" s="4" t="str">
        <f>'Benchmarking Data'!F80</f>
        <v>Real-Time Data Streaming</v>
      </c>
      <c r="C80" s="4">
        <f>'Benchmarking Data'!I80</f>
        <v>6</v>
      </c>
      <c r="D80" s="4" t="str">
        <f>'Benchmarking Data'!G80</f>
        <v>Available</v>
      </c>
      <c r="E80" s="4" t="str">
        <f>'Benchmarking Data'!H80</f>
        <v>Not Available</v>
      </c>
      <c r="F80" s="4">
        <f>IF('Benchmarking Data'!G80="Available", 'Benchmarking Data'!I80, IF('Benchmarking Data'!G80="Yes", 'Benchmarking Data'!I80, IF('Benchmarking Data'!G80="Partial", 0.5*'Benchmarking Data'!I80, 0)))</f>
        <v>6</v>
      </c>
      <c r="G80" s="4">
        <f>IF('Benchmarking Data'!H80="Available", 'Benchmarking Data'!I80, IF('Benchmarking Data'!H80="Yes", 'Benchmarking Data'!I80, IF('Benchmarking Data'!H80="Partial", 0.5*'Benchmarking Data'!I80, 0)))</f>
        <v>0</v>
      </c>
    </row>
    <row r="81" spans="1:7" ht="15.75" customHeight="1">
      <c r="A81" s="4" t="str">
        <f>'Benchmarking Data'!A81</f>
        <v>BMK-1080</v>
      </c>
      <c r="B81" s="4" t="str">
        <f>'Benchmarking Data'!F81</f>
        <v>Custom Dashboard Builder</v>
      </c>
      <c r="C81" s="4">
        <f>'Benchmarking Data'!I81</f>
        <v>6</v>
      </c>
      <c r="D81" s="4" t="str">
        <f>'Benchmarking Data'!G81</f>
        <v>Partial</v>
      </c>
      <c r="E81" s="4" t="str">
        <f>'Benchmarking Data'!H81</f>
        <v>Partial</v>
      </c>
      <c r="F81" s="4">
        <f>IF('Benchmarking Data'!G81="Available", 'Benchmarking Data'!I81, IF('Benchmarking Data'!G81="Yes", 'Benchmarking Data'!I81, IF('Benchmarking Data'!G81="Partial", 0.5*'Benchmarking Data'!I81, 0)))</f>
        <v>3</v>
      </c>
      <c r="G81" s="4">
        <f>IF('Benchmarking Data'!H81="Available", 'Benchmarking Data'!I81, IF('Benchmarking Data'!H81="Yes", 'Benchmarking Data'!I81, IF('Benchmarking Data'!H81="Partial", 0.5*'Benchmarking Data'!I81, 0)))</f>
        <v>3</v>
      </c>
    </row>
    <row r="82" spans="1:7" ht="15.75" customHeight="1">
      <c r="A82" s="4" t="str">
        <f>'Benchmarking Data'!A82</f>
        <v>BMK-1081</v>
      </c>
      <c r="B82" s="4" t="str">
        <f>'Benchmarking Data'!F82</f>
        <v>Ad-Hoc Query Engine</v>
      </c>
      <c r="C82" s="4">
        <f>'Benchmarking Data'!I82</f>
        <v>8</v>
      </c>
      <c r="D82" s="4" t="str">
        <f>'Benchmarking Data'!G82</f>
        <v>Available</v>
      </c>
      <c r="E82" s="4" t="str">
        <f>'Benchmarking Data'!H82</f>
        <v>Partial</v>
      </c>
      <c r="F82" s="4">
        <f>IF('Benchmarking Data'!G82="Available", 'Benchmarking Data'!I82, IF('Benchmarking Data'!G82="Yes", 'Benchmarking Data'!I82, IF('Benchmarking Data'!G82="Partial", 0.5*'Benchmarking Data'!I82, 0)))</f>
        <v>8</v>
      </c>
      <c r="G82" s="4">
        <f>IF('Benchmarking Data'!H82="Available", 'Benchmarking Data'!I82, IF('Benchmarking Data'!H82="Yes", 'Benchmarking Data'!I82, IF('Benchmarking Data'!H82="Partial", 0.5*'Benchmarking Data'!I82, 0)))</f>
        <v>4</v>
      </c>
    </row>
    <row r="83" spans="1:7" ht="15.75" customHeight="1">
      <c r="A83" s="4" t="str">
        <f>'Benchmarking Data'!A83</f>
        <v>BMK-1082</v>
      </c>
      <c r="B83" s="4" t="str">
        <f>'Benchmarking Data'!F83</f>
        <v>Automated PDF Reporting</v>
      </c>
      <c r="C83" s="4">
        <f>'Benchmarking Data'!I83</f>
        <v>7</v>
      </c>
      <c r="D83" s="4" t="str">
        <f>'Benchmarking Data'!G83</f>
        <v>Available</v>
      </c>
      <c r="E83" s="4" t="str">
        <f>'Benchmarking Data'!H83</f>
        <v>Partial</v>
      </c>
      <c r="F83" s="4">
        <f>IF('Benchmarking Data'!G83="Available", 'Benchmarking Data'!I83, IF('Benchmarking Data'!G83="Yes", 'Benchmarking Data'!I83, IF('Benchmarking Data'!G83="Partial", 0.5*'Benchmarking Data'!I83, 0)))</f>
        <v>7</v>
      </c>
      <c r="G83" s="4">
        <f>IF('Benchmarking Data'!H83="Available", 'Benchmarking Data'!I83, IF('Benchmarking Data'!H83="Yes", 'Benchmarking Data'!I83, IF('Benchmarking Data'!H83="Partial", 0.5*'Benchmarking Data'!I83, 0)))</f>
        <v>3.5</v>
      </c>
    </row>
    <row r="84" spans="1:7" ht="15.75" customHeight="1">
      <c r="A84" s="4" t="str">
        <f>'Benchmarking Data'!A84</f>
        <v>BMK-1083</v>
      </c>
      <c r="B84" s="4" t="str">
        <f>'Benchmarking Data'!F84</f>
        <v>Data Export (CSV/XLSX/JSON)</v>
      </c>
      <c r="C84" s="4">
        <f>'Benchmarking Data'!I84</f>
        <v>7</v>
      </c>
      <c r="D84" s="4" t="str">
        <f>'Benchmarking Data'!G84</f>
        <v>Available</v>
      </c>
      <c r="E84" s="4" t="str">
        <f>'Benchmarking Data'!H84</f>
        <v>Partial</v>
      </c>
      <c r="F84" s="4">
        <f>IF('Benchmarking Data'!G84="Available", 'Benchmarking Data'!I84, IF('Benchmarking Data'!G84="Yes", 'Benchmarking Data'!I84, IF('Benchmarking Data'!G84="Partial", 0.5*'Benchmarking Data'!I84, 0)))</f>
        <v>7</v>
      </c>
      <c r="G84" s="4">
        <f>IF('Benchmarking Data'!H84="Available", 'Benchmarking Data'!I84, IF('Benchmarking Data'!H84="Yes", 'Benchmarking Data'!I84, IF('Benchmarking Data'!H84="Partial", 0.5*'Benchmarking Data'!I84, 0)))</f>
        <v>3.5</v>
      </c>
    </row>
    <row r="85" spans="1:7" ht="15.75" customHeight="1">
      <c r="A85" s="4" t="str">
        <f>'Benchmarking Data'!A85</f>
        <v>BMK-1084</v>
      </c>
      <c r="B85" s="4" t="str">
        <f>'Benchmarking Data'!F85</f>
        <v>Interactive Drill-Downs</v>
      </c>
      <c r="C85" s="4">
        <f>'Benchmarking Data'!I85</f>
        <v>7</v>
      </c>
      <c r="D85" s="4" t="str">
        <f>'Benchmarking Data'!G85</f>
        <v>Available</v>
      </c>
      <c r="E85" s="4" t="str">
        <f>'Benchmarking Data'!H85</f>
        <v>Available</v>
      </c>
      <c r="F85" s="4">
        <f>IF('Benchmarking Data'!G85="Available", 'Benchmarking Data'!I85, IF('Benchmarking Data'!G85="Yes", 'Benchmarking Data'!I85, IF('Benchmarking Data'!G85="Partial", 0.5*'Benchmarking Data'!I85, 0)))</f>
        <v>7</v>
      </c>
      <c r="G85" s="4">
        <f>IF('Benchmarking Data'!H85="Available", 'Benchmarking Data'!I85, IF('Benchmarking Data'!H85="Yes", 'Benchmarking Data'!I85, IF('Benchmarking Data'!H85="Partial", 0.5*'Benchmarking Data'!I85, 0)))</f>
        <v>7</v>
      </c>
    </row>
    <row r="86" spans="1:7" ht="15.75" customHeight="1">
      <c r="A86" s="4" t="str">
        <f>'Benchmarking Data'!A86</f>
        <v>BMK-1085</v>
      </c>
      <c r="B86" s="4" t="str">
        <f>'Benchmarking Data'!F86</f>
        <v>Predictive Anomaly Detection</v>
      </c>
      <c r="C86" s="4">
        <f>'Benchmarking Data'!I86</f>
        <v>6</v>
      </c>
      <c r="D86" s="4" t="str">
        <f>'Benchmarking Data'!G86</f>
        <v>Partial</v>
      </c>
      <c r="E86" s="4" t="str">
        <f>'Benchmarking Data'!H86</f>
        <v>Partial</v>
      </c>
      <c r="F86" s="4">
        <f>IF('Benchmarking Data'!G86="Available", 'Benchmarking Data'!I86, IF('Benchmarking Data'!G86="Yes", 'Benchmarking Data'!I86, IF('Benchmarking Data'!G86="Partial", 0.5*'Benchmarking Data'!I86, 0)))</f>
        <v>3</v>
      </c>
      <c r="G86" s="4">
        <f>IF('Benchmarking Data'!H86="Available", 'Benchmarking Data'!I86, IF('Benchmarking Data'!H86="Yes", 'Benchmarking Data'!I86, IF('Benchmarking Data'!H86="Partial", 0.5*'Benchmarking Data'!I86, 0)))</f>
        <v>3</v>
      </c>
    </row>
    <row r="87" spans="1:7" ht="15.75" customHeight="1">
      <c r="A87" s="4" t="str">
        <f>'Benchmarking Data'!A87</f>
        <v>BMK-1086</v>
      </c>
      <c r="B87" s="4" t="str">
        <f>'Benchmarking Data'!F87</f>
        <v>Automated Insight Generation</v>
      </c>
      <c r="C87" s="4">
        <f>'Benchmarking Data'!I87</f>
        <v>10</v>
      </c>
      <c r="D87" s="4" t="str">
        <f>'Benchmarking Data'!G87</f>
        <v>Available</v>
      </c>
      <c r="E87" s="4" t="str">
        <f>'Benchmarking Data'!H87</f>
        <v>Available</v>
      </c>
      <c r="F87" s="4">
        <f>IF('Benchmarking Data'!G87="Available", 'Benchmarking Data'!I87, IF('Benchmarking Data'!G87="Yes", 'Benchmarking Data'!I87, IF('Benchmarking Data'!G87="Partial", 0.5*'Benchmarking Data'!I87, 0)))</f>
        <v>10</v>
      </c>
      <c r="G87" s="4">
        <f>IF('Benchmarking Data'!H87="Available", 'Benchmarking Data'!I87, IF('Benchmarking Data'!H87="Yes", 'Benchmarking Data'!I87, IF('Benchmarking Data'!H87="Partial", 0.5*'Benchmarking Data'!I87, 0)))</f>
        <v>10</v>
      </c>
    </row>
    <row r="88" spans="1:7" ht="15.75" customHeight="1">
      <c r="A88" s="4" t="str">
        <f>'Benchmarking Data'!A88</f>
        <v>BMK-1087</v>
      </c>
      <c r="B88" s="4" t="str">
        <f>'Benchmarking Data'!F88</f>
        <v>Natural Language Querying (NLQ)</v>
      </c>
      <c r="C88" s="4">
        <f>'Benchmarking Data'!I88</f>
        <v>6</v>
      </c>
      <c r="D88" s="4" t="str">
        <f>'Benchmarking Data'!G88</f>
        <v>Available</v>
      </c>
      <c r="E88" s="4" t="str">
        <f>'Benchmarking Data'!H88</f>
        <v>Not Available</v>
      </c>
      <c r="F88" s="4">
        <f>IF('Benchmarking Data'!G88="Available", 'Benchmarking Data'!I88, IF('Benchmarking Data'!G88="Yes", 'Benchmarking Data'!I88, IF('Benchmarking Data'!G88="Partial", 0.5*'Benchmarking Data'!I88, 0)))</f>
        <v>6</v>
      </c>
      <c r="G88" s="4">
        <f>IF('Benchmarking Data'!H88="Available", 'Benchmarking Data'!I88, IF('Benchmarking Data'!H88="Yes", 'Benchmarking Data'!I88, IF('Benchmarking Data'!H88="Partial", 0.5*'Benchmarking Data'!I88, 0)))</f>
        <v>0</v>
      </c>
    </row>
    <row r="89" spans="1:7" ht="15.75" customHeight="1">
      <c r="A89" s="4" t="str">
        <f>'Benchmarking Data'!A89</f>
        <v>BMK-1088</v>
      </c>
      <c r="B89" s="4" t="str">
        <f>'Benchmarking Data'!F89</f>
        <v>Forecasting &amp; Trend Projection</v>
      </c>
      <c r="C89" s="4">
        <f>'Benchmarking Data'!I89</f>
        <v>10</v>
      </c>
      <c r="D89" s="4" t="str">
        <f>'Benchmarking Data'!G89</f>
        <v>Available</v>
      </c>
      <c r="E89" s="4" t="str">
        <f>'Benchmarking Data'!H89</f>
        <v>Not Available</v>
      </c>
      <c r="F89" s="4">
        <f>IF('Benchmarking Data'!G89="Available", 'Benchmarking Data'!I89, IF('Benchmarking Data'!G89="Yes", 'Benchmarking Data'!I89, IF('Benchmarking Data'!G89="Partial", 0.5*'Benchmarking Data'!I89, 0)))</f>
        <v>10</v>
      </c>
      <c r="G89" s="4">
        <f>IF('Benchmarking Data'!H89="Available", 'Benchmarking Data'!I89, IF('Benchmarking Data'!H89="Yes", 'Benchmarking Data'!I89, IF('Benchmarking Data'!H89="Partial", 0.5*'Benchmarking Data'!I89, 0)))</f>
        <v>0</v>
      </c>
    </row>
    <row r="90" spans="1:7" ht="15.75" customHeight="1">
      <c r="A90" s="4" t="str">
        <f>'Benchmarking Data'!A90</f>
        <v>BMK-1089</v>
      </c>
      <c r="B90" s="4" t="str">
        <f>'Benchmarking Data'!F90</f>
        <v>Smart Alerting &amp; Triggers</v>
      </c>
      <c r="C90" s="4">
        <f>'Benchmarking Data'!I90</f>
        <v>9</v>
      </c>
      <c r="D90" s="4" t="str">
        <f>'Benchmarking Data'!G90</f>
        <v>Partial</v>
      </c>
      <c r="E90" s="4" t="str">
        <f>'Benchmarking Data'!H90</f>
        <v>Not Available</v>
      </c>
      <c r="F90" s="4">
        <f>IF('Benchmarking Data'!G90="Available", 'Benchmarking Data'!I90, IF('Benchmarking Data'!G90="Yes", 'Benchmarking Data'!I90, IF('Benchmarking Data'!G90="Partial", 0.5*'Benchmarking Data'!I90, 0)))</f>
        <v>4.5</v>
      </c>
      <c r="G90" s="4">
        <f>IF('Benchmarking Data'!H90="Available", 'Benchmarking Data'!I90, IF('Benchmarking Data'!H90="Yes", 'Benchmarking Data'!I90, IF('Benchmarking Data'!H90="Partial", 0.5*'Benchmarking Data'!I90, 0)))</f>
        <v>0</v>
      </c>
    </row>
    <row r="91" spans="1:7" ht="15.75" customHeight="1">
      <c r="A91" s="4" t="str">
        <f>'Benchmarking Data'!A91</f>
        <v>BMK-1090</v>
      </c>
      <c r="B91" s="4" t="str">
        <f>'Benchmarking Data'!F91</f>
        <v>REST API &amp; Webhooks</v>
      </c>
      <c r="C91" s="4">
        <f>'Benchmarking Data'!I91</f>
        <v>6</v>
      </c>
      <c r="D91" s="4" t="str">
        <f>'Benchmarking Data'!G91</f>
        <v>Available</v>
      </c>
      <c r="E91" s="4" t="str">
        <f>'Benchmarking Data'!H91</f>
        <v>Available</v>
      </c>
      <c r="F91" s="4">
        <f>IF('Benchmarking Data'!G91="Available", 'Benchmarking Data'!I91, IF('Benchmarking Data'!G91="Yes", 'Benchmarking Data'!I91, IF('Benchmarking Data'!G91="Partial", 0.5*'Benchmarking Data'!I91, 0)))</f>
        <v>6</v>
      </c>
      <c r="G91" s="4">
        <f>IF('Benchmarking Data'!H91="Available", 'Benchmarking Data'!I91, IF('Benchmarking Data'!H91="Yes", 'Benchmarking Data'!I91, IF('Benchmarking Data'!H91="Partial", 0.5*'Benchmarking Data'!I91, 0)))</f>
        <v>6</v>
      </c>
    </row>
    <row r="92" spans="1:7" ht="15.75" customHeight="1">
      <c r="A92" s="4" t="str">
        <f>'Benchmarking Data'!A92</f>
        <v>BMK-1091</v>
      </c>
      <c r="B92" s="4" t="str">
        <f>'Benchmarking Data'!F92</f>
        <v>Pre-built Salesforce Connector</v>
      </c>
      <c r="C92" s="4">
        <f>'Benchmarking Data'!I92</f>
        <v>6</v>
      </c>
      <c r="D92" s="4" t="str">
        <f>'Benchmarking Data'!G92</f>
        <v>Partial</v>
      </c>
      <c r="E92" s="4" t="str">
        <f>'Benchmarking Data'!H92</f>
        <v>Partial</v>
      </c>
      <c r="F92" s="4">
        <f>IF('Benchmarking Data'!G92="Available", 'Benchmarking Data'!I92, IF('Benchmarking Data'!G92="Yes", 'Benchmarking Data'!I92, IF('Benchmarking Data'!G92="Partial", 0.5*'Benchmarking Data'!I92, 0)))</f>
        <v>3</v>
      </c>
      <c r="G92" s="4">
        <f>IF('Benchmarking Data'!H92="Available", 'Benchmarking Data'!I92, IF('Benchmarking Data'!H92="Yes", 'Benchmarking Data'!I92, IF('Benchmarking Data'!H92="Partial", 0.5*'Benchmarking Data'!I92, 0)))</f>
        <v>3</v>
      </c>
    </row>
    <row r="93" spans="1:7" ht="15.75" customHeight="1">
      <c r="A93" s="4" t="str">
        <f>'Benchmarking Data'!A93</f>
        <v>BMK-1092</v>
      </c>
      <c r="B93" s="4" t="str">
        <f>'Benchmarking Data'!F93</f>
        <v>Snowflake &amp; BigQuery Sync</v>
      </c>
      <c r="C93" s="4">
        <f>'Benchmarking Data'!I93</f>
        <v>6</v>
      </c>
      <c r="D93" s="4" t="str">
        <f>'Benchmarking Data'!G93</f>
        <v>Partial</v>
      </c>
      <c r="E93" s="4" t="str">
        <f>'Benchmarking Data'!H93</f>
        <v>Partial</v>
      </c>
      <c r="F93" s="4">
        <f>IF('Benchmarking Data'!G93="Available", 'Benchmarking Data'!I93, IF('Benchmarking Data'!G93="Yes", 'Benchmarking Data'!I93, IF('Benchmarking Data'!G93="Partial", 0.5*'Benchmarking Data'!I93, 0)))</f>
        <v>3</v>
      </c>
      <c r="G93" s="4">
        <f>IF('Benchmarking Data'!H93="Available", 'Benchmarking Data'!I93, IF('Benchmarking Data'!H93="Yes", 'Benchmarking Data'!I93, IF('Benchmarking Data'!H93="Partial", 0.5*'Benchmarking Data'!I93, 0)))</f>
        <v>3</v>
      </c>
    </row>
    <row r="94" spans="1:7" ht="15.75" customHeight="1">
      <c r="A94" s="4" t="str">
        <f>'Benchmarking Data'!A94</f>
        <v>BMK-1093</v>
      </c>
      <c r="B94" s="4" t="str">
        <f>'Benchmarking Data'!F94</f>
        <v>Zapier &amp; Make Integration</v>
      </c>
      <c r="C94" s="4">
        <f>'Benchmarking Data'!I94</f>
        <v>7</v>
      </c>
      <c r="D94" s="4" t="str">
        <f>'Benchmarking Data'!G94</f>
        <v>Available</v>
      </c>
      <c r="E94" s="4" t="str">
        <f>'Benchmarking Data'!H94</f>
        <v>Not Available</v>
      </c>
      <c r="F94" s="4">
        <f>IF('Benchmarking Data'!G94="Available", 'Benchmarking Data'!I94, IF('Benchmarking Data'!G94="Yes", 'Benchmarking Data'!I94, IF('Benchmarking Data'!G94="Partial", 0.5*'Benchmarking Data'!I94, 0)))</f>
        <v>7</v>
      </c>
      <c r="G94" s="4">
        <f>IF('Benchmarking Data'!H94="Available", 'Benchmarking Data'!I94, IF('Benchmarking Data'!H94="Yes", 'Benchmarking Data'!I94, IF('Benchmarking Data'!H94="Partial", 0.5*'Benchmarking Data'!I94, 0)))</f>
        <v>0</v>
      </c>
    </row>
    <row r="95" spans="1:7" ht="15.75" customHeight="1">
      <c r="A95" s="4" t="str">
        <f>'Benchmarking Data'!A95</f>
        <v>BMK-1094</v>
      </c>
      <c r="B95" s="4" t="str">
        <f>'Benchmarking Data'!F95</f>
        <v>Custom ETL Scripting Support</v>
      </c>
      <c r="C95" s="4">
        <f>'Benchmarking Data'!I95</f>
        <v>7</v>
      </c>
      <c r="D95" s="4" t="str">
        <f>'Benchmarking Data'!G95</f>
        <v>Available</v>
      </c>
      <c r="E95" s="4" t="str">
        <f>'Benchmarking Data'!H95</f>
        <v>Available</v>
      </c>
      <c r="F95" s="4">
        <f>IF('Benchmarking Data'!G95="Available", 'Benchmarking Data'!I95, IF('Benchmarking Data'!G95="Yes", 'Benchmarking Data'!I95, IF('Benchmarking Data'!G95="Partial", 0.5*'Benchmarking Data'!I95, 0)))</f>
        <v>7</v>
      </c>
      <c r="G95" s="4">
        <f>IF('Benchmarking Data'!H95="Available", 'Benchmarking Data'!I95, IF('Benchmarking Data'!H95="Yes", 'Benchmarking Data'!I95, IF('Benchmarking Data'!H95="Partial", 0.5*'Benchmarking Data'!I95, 0)))</f>
        <v>7</v>
      </c>
    </row>
    <row r="96" spans="1:7" ht="15.75" customHeight="1">
      <c r="A96" s="4" t="str">
        <f>'Benchmarking Data'!A96</f>
        <v>BMK-1095</v>
      </c>
      <c r="B96" s="4" t="str">
        <f>'Benchmarking Data'!F96</f>
        <v>Role-Based Access Control (RBAC)</v>
      </c>
      <c r="C96" s="4">
        <f>'Benchmarking Data'!I96</f>
        <v>10</v>
      </c>
      <c r="D96" s="4" t="str">
        <f>'Benchmarking Data'!G96</f>
        <v>Available</v>
      </c>
      <c r="E96" s="4" t="str">
        <f>'Benchmarking Data'!H96</f>
        <v>Partial</v>
      </c>
      <c r="F96" s="4">
        <f>IF('Benchmarking Data'!G96="Available", 'Benchmarking Data'!I96, IF('Benchmarking Data'!G96="Yes", 'Benchmarking Data'!I96, IF('Benchmarking Data'!G96="Partial", 0.5*'Benchmarking Data'!I96, 0)))</f>
        <v>10</v>
      </c>
      <c r="G96" s="4">
        <f>IF('Benchmarking Data'!H96="Available", 'Benchmarking Data'!I96, IF('Benchmarking Data'!H96="Yes", 'Benchmarking Data'!I96, IF('Benchmarking Data'!H96="Partial", 0.5*'Benchmarking Data'!I96, 0)))</f>
        <v>5</v>
      </c>
    </row>
    <row r="97" spans="1:7" ht="15.75" customHeight="1">
      <c r="A97" s="4" t="str">
        <f>'Benchmarking Data'!A97</f>
        <v>BMK-1096</v>
      </c>
      <c r="B97" s="4" t="str">
        <f>'Benchmarking Data'!F97</f>
        <v>SOC2 Type II Compliance</v>
      </c>
      <c r="C97" s="4">
        <f>'Benchmarking Data'!I97</f>
        <v>10</v>
      </c>
      <c r="D97" s="4" t="str">
        <f>'Benchmarking Data'!G97</f>
        <v>Partial</v>
      </c>
      <c r="E97" s="4" t="str">
        <f>'Benchmarking Data'!H97</f>
        <v>Not Available</v>
      </c>
      <c r="F97" s="4">
        <f>IF('Benchmarking Data'!G97="Available", 'Benchmarking Data'!I97, IF('Benchmarking Data'!G97="Yes", 'Benchmarking Data'!I97, IF('Benchmarking Data'!G97="Partial", 0.5*'Benchmarking Data'!I97, 0)))</f>
        <v>5</v>
      </c>
      <c r="G97" s="4">
        <f>IF('Benchmarking Data'!H97="Available", 'Benchmarking Data'!I97, IF('Benchmarking Data'!H97="Yes", 'Benchmarking Data'!I97, IF('Benchmarking Data'!H97="Partial", 0.5*'Benchmarking Data'!I97, 0)))</f>
        <v>0</v>
      </c>
    </row>
    <row r="98" spans="1:7" ht="15.75" customHeight="1">
      <c r="A98" s="4" t="str">
        <f>'Benchmarking Data'!A98</f>
        <v>BMK-1097</v>
      </c>
      <c r="B98" s="4" t="str">
        <f>'Benchmarking Data'!F98</f>
        <v>Single Sign-On (SSO / SAML)</v>
      </c>
      <c r="C98" s="4">
        <f>'Benchmarking Data'!I98</f>
        <v>6</v>
      </c>
      <c r="D98" s="4" t="str">
        <f>'Benchmarking Data'!G98</f>
        <v>Partial</v>
      </c>
      <c r="E98" s="4" t="str">
        <f>'Benchmarking Data'!H98</f>
        <v>Not Available</v>
      </c>
      <c r="F98" s="4">
        <f>IF('Benchmarking Data'!G98="Available", 'Benchmarking Data'!I98, IF('Benchmarking Data'!G98="Yes", 'Benchmarking Data'!I98, IF('Benchmarking Data'!G98="Partial", 0.5*'Benchmarking Data'!I98, 0)))</f>
        <v>3</v>
      </c>
      <c r="G98" s="4">
        <f>IF('Benchmarking Data'!H98="Available", 'Benchmarking Data'!I98, IF('Benchmarking Data'!H98="Yes", 'Benchmarking Data'!I98, IF('Benchmarking Data'!H98="Partial", 0.5*'Benchmarking Data'!I98, 0)))</f>
        <v>0</v>
      </c>
    </row>
    <row r="99" spans="1:7" ht="15.75" customHeight="1">
      <c r="A99" s="4" t="str">
        <f>'Benchmarking Data'!A99</f>
        <v>BMK-1098</v>
      </c>
      <c r="B99" s="4" t="str">
        <f>'Benchmarking Data'!F99</f>
        <v>Data Masking &amp; Encryption at Rest</v>
      </c>
      <c r="C99" s="4">
        <f>'Benchmarking Data'!I99</f>
        <v>10</v>
      </c>
      <c r="D99" s="4" t="str">
        <f>'Benchmarking Data'!G99</f>
        <v>Available</v>
      </c>
      <c r="E99" s="4" t="str">
        <f>'Benchmarking Data'!H99</f>
        <v>Not Available</v>
      </c>
      <c r="F99" s="4">
        <f>IF('Benchmarking Data'!G99="Available", 'Benchmarking Data'!I99, IF('Benchmarking Data'!G99="Yes", 'Benchmarking Data'!I99, IF('Benchmarking Data'!G99="Partial", 0.5*'Benchmarking Data'!I99, 0)))</f>
        <v>10</v>
      </c>
      <c r="G99" s="4">
        <f>IF('Benchmarking Data'!H99="Available", 'Benchmarking Data'!I99, IF('Benchmarking Data'!H99="Yes", 'Benchmarking Data'!I99, IF('Benchmarking Data'!H99="Partial", 0.5*'Benchmarking Data'!I99, 0)))</f>
        <v>0</v>
      </c>
    </row>
    <row r="100" spans="1:7" ht="15.75" customHeight="1">
      <c r="A100" s="4" t="str">
        <f>'Benchmarking Data'!A100</f>
        <v>BMK-1099</v>
      </c>
      <c r="B100" s="4" t="str">
        <f>'Benchmarking Data'!F100</f>
        <v>Audit Logging &amp; Activity Trails</v>
      </c>
      <c r="C100" s="4">
        <f>'Benchmarking Data'!I100</f>
        <v>7</v>
      </c>
      <c r="D100" s="4" t="str">
        <f>'Benchmarking Data'!G100</f>
        <v>Partial</v>
      </c>
      <c r="E100" s="4" t="str">
        <f>'Benchmarking Data'!H100</f>
        <v>Available</v>
      </c>
      <c r="F100" s="4">
        <f>IF('Benchmarking Data'!G100="Available", 'Benchmarking Data'!I100, IF('Benchmarking Data'!G100="Yes", 'Benchmarking Data'!I100, IF('Benchmarking Data'!G100="Partial", 0.5*'Benchmarking Data'!I100, 0)))</f>
        <v>3.5</v>
      </c>
      <c r="G100" s="4">
        <f>IF('Benchmarking Data'!H100="Available", 'Benchmarking Data'!I100, IF('Benchmarking Data'!H100="Yes", 'Benchmarking Data'!I100, IF('Benchmarking Data'!H100="Partial", 0.5*'Benchmarking Data'!I100, 0)))</f>
        <v>7</v>
      </c>
    </row>
    <row r="101" spans="1:7" ht="15.75" customHeight="1">
      <c r="A101" s="4" t="str">
        <f>'Benchmarking Data'!A101</f>
        <v>BMK-1100</v>
      </c>
      <c r="B101" s="4" t="str">
        <f>'Benchmarking Data'!F101</f>
        <v>Native iOS &amp; Android App</v>
      </c>
      <c r="C101" s="4">
        <f>'Benchmarking Data'!I101</f>
        <v>10</v>
      </c>
      <c r="D101" s="4" t="str">
        <f>'Benchmarking Data'!G101</f>
        <v>Available</v>
      </c>
      <c r="E101" s="4" t="str">
        <f>'Benchmarking Data'!H101</f>
        <v>Partial</v>
      </c>
      <c r="F101" s="4">
        <f>IF('Benchmarking Data'!G101="Available", 'Benchmarking Data'!I101, IF('Benchmarking Data'!G101="Yes", 'Benchmarking Data'!I101, IF('Benchmarking Data'!G101="Partial", 0.5*'Benchmarking Data'!I101, 0)))</f>
        <v>10</v>
      </c>
      <c r="G101" s="4">
        <f>IF('Benchmarking Data'!H101="Available", 'Benchmarking Data'!I101, IF('Benchmarking Data'!H101="Yes", 'Benchmarking Data'!I101, IF('Benchmarking Data'!H101="Partial", 0.5*'Benchmarking Data'!I101, 0)))</f>
        <v>5</v>
      </c>
    </row>
    <row r="102" spans="1:7" ht="15.75" customHeight="1">
      <c r="A102" s="4" t="str">
        <f>'Benchmarking Data'!A102</f>
        <v>BMK-1101</v>
      </c>
      <c r="B102" s="4" t="str">
        <f>'Benchmarking Data'!F102</f>
        <v>Dark Mode / Custom Themes</v>
      </c>
      <c r="C102" s="4">
        <f>'Benchmarking Data'!I102</f>
        <v>9</v>
      </c>
      <c r="D102" s="4" t="str">
        <f>'Benchmarking Data'!G102</f>
        <v>Partial</v>
      </c>
      <c r="E102" s="4" t="str">
        <f>'Benchmarking Data'!H102</f>
        <v>Partial</v>
      </c>
      <c r="F102" s="4">
        <f>IF('Benchmarking Data'!G102="Available", 'Benchmarking Data'!I102, IF('Benchmarking Data'!G102="Yes", 'Benchmarking Data'!I102, IF('Benchmarking Data'!G102="Partial", 0.5*'Benchmarking Data'!I102, 0)))</f>
        <v>4.5</v>
      </c>
      <c r="G102" s="4">
        <f>IF('Benchmarking Data'!H102="Available", 'Benchmarking Data'!I102, IF('Benchmarking Data'!H102="Yes", 'Benchmarking Data'!I102, IF('Benchmarking Data'!H102="Partial", 0.5*'Benchmarking Data'!I102, 0)))</f>
        <v>4.5</v>
      </c>
    </row>
    <row r="103" spans="1:7" ht="15.75" customHeight="1">
      <c r="A103" s="4" t="str">
        <f>'Benchmarking Data'!A103</f>
        <v>BMK-1102</v>
      </c>
      <c r="B103" s="4" t="str">
        <f>'Benchmarking Data'!F103</f>
        <v>Collaborative Comments &amp; Tagging</v>
      </c>
      <c r="C103" s="4">
        <f>'Benchmarking Data'!I103</f>
        <v>7</v>
      </c>
      <c r="D103" s="4" t="str">
        <f>'Benchmarking Data'!G103</f>
        <v>Available</v>
      </c>
      <c r="E103" s="4" t="str">
        <f>'Benchmarking Data'!H103</f>
        <v>Available</v>
      </c>
      <c r="F103" s="4">
        <f>IF('Benchmarking Data'!G103="Available", 'Benchmarking Data'!I103, IF('Benchmarking Data'!G103="Yes", 'Benchmarking Data'!I103, IF('Benchmarking Data'!G103="Partial", 0.5*'Benchmarking Data'!I103, 0)))</f>
        <v>7</v>
      </c>
      <c r="G103" s="4">
        <f>IF('Benchmarking Data'!H103="Available", 'Benchmarking Data'!I103, IF('Benchmarking Data'!H103="Yes", 'Benchmarking Data'!I103, IF('Benchmarking Data'!H103="Partial", 0.5*'Benchmarking Data'!I103, 0)))</f>
        <v>7</v>
      </c>
    </row>
    <row r="104" spans="1:7" ht="15.75" customHeight="1">
      <c r="A104" s="4" t="str">
        <f>'Benchmarking Data'!A104</f>
        <v>BMK-1103</v>
      </c>
      <c r="B104" s="4" t="str">
        <f>'Benchmarking Data'!F104</f>
        <v>Multi-Language Localization</v>
      </c>
      <c r="C104" s="4">
        <f>'Benchmarking Data'!I104</f>
        <v>9</v>
      </c>
      <c r="D104" s="4" t="str">
        <f>'Benchmarking Data'!G104</f>
        <v>Available</v>
      </c>
      <c r="E104" s="4" t="str">
        <f>'Benchmarking Data'!H104</f>
        <v>Available</v>
      </c>
      <c r="F104" s="4">
        <f>IF('Benchmarking Data'!G104="Available", 'Benchmarking Data'!I104, IF('Benchmarking Data'!G104="Yes", 'Benchmarking Data'!I104, IF('Benchmarking Data'!G104="Partial", 0.5*'Benchmarking Data'!I104, 0)))</f>
        <v>9</v>
      </c>
      <c r="G104" s="4">
        <f>IF('Benchmarking Data'!H104="Available", 'Benchmarking Data'!I104, IF('Benchmarking Data'!H104="Yes", 'Benchmarking Data'!I104, IF('Benchmarking Data'!H104="Partial", 0.5*'Benchmarking Data'!I104, 0)))</f>
        <v>9</v>
      </c>
    </row>
    <row r="105" spans="1:7" ht="15.75" customHeight="1">
      <c r="A105" s="4" t="str">
        <f>'Benchmarking Data'!A105</f>
        <v>BMK-1104</v>
      </c>
      <c r="B105" s="4" t="str">
        <f>'Benchmarking Data'!F105</f>
        <v>Custom White-Labeling</v>
      </c>
      <c r="C105" s="4">
        <f>'Benchmarking Data'!I105</f>
        <v>10</v>
      </c>
      <c r="D105" s="4" t="str">
        <f>'Benchmarking Data'!G105</f>
        <v>Available</v>
      </c>
      <c r="E105" s="4" t="str">
        <f>'Benchmarking Data'!H105</f>
        <v>Not Available</v>
      </c>
      <c r="F105" s="4">
        <f>IF('Benchmarking Data'!G105="Available", 'Benchmarking Data'!I105, IF('Benchmarking Data'!G105="Yes", 'Benchmarking Data'!I105, IF('Benchmarking Data'!G105="Partial", 0.5*'Benchmarking Data'!I105, 0)))</f>
        <v>10</v>
      </c>
      <c r="G105" s="4">
        <f>IF('Benchmarking Data'!H105="Available", 'Benchmarking Data'!I105, IF('Benchmarking Data'!H105="Yes", 'Benchmarking Data'!I105, IF('Benchmarking Data'!H105="Partial", 0.5*'Benchmarking Data'!I105, 0)))</f>
        <v>0</v>
      </c>
    </row>
    <row r="106" spans="1:7" ht="15.75" customHeight="1">
      <c r="A106" s="4" t="str">
        <f>'Benchmarking Data'!A106</f>
        <v>BMK-1105</v>
      </c>
      <c r="B106" s="4" t="str">
        <f>'Benchmarking Data'!F106</f>
        <v>Real-Time Data Streaming</v>
      </c>
      <c r="C106" s="4">
        <f>'Benchmarking Data'!I106</f>
        <v>6</v>
      </c>
      <c r="D106" s="4" t="str">
        <f>'Benchmarking Data'!G106</f>
        <v>Available</v>
      </c>
      <c r="E106" s="4" t="str">
        <f>'Benchmarking Data'!H106</f>
        <v>Available</v>
      </c>
      <c r="F106" s="4">
        <f>IF('Benchmarking Data'!G106="Available", 'Benchmarking Data'!I106, IF('Benchmarking Data'!G106="Yes", 'Benchmarking Data'!I106, IF('Benchmarking Data'!G106="Partial", 0.5*'Benchmarking Data'!I106, 0)))</f>
        <v>6</v>
      </c>
      <c r="G106" s="4">
        <f>IF('Benchmarking Data'!H106="Available", 'Benchmarking Data'!I106, IF('Benchmarking Data'!H106="Yes", 'Benchmarking Data'!I106, IF('Benchmarking Data'!H106="Partial", 0.5*'Benchmarking Data'!I106, 0)))</f>
        <v>6</v>
      </c>
    </row>
    <row r="107" spans="1:7" ht="15.75" customHeight="1">
      <c r="A107" s="4" t="str">
        <f>'Benchmarking Data'!A107</f>
        <v>BMK-1106</v>
      </c>
      <c r="B107" s="4" t="str">
        <f>'Benchmarking Data'!F107</f>
        <v>Custom Dashboard Builder</v>
      </c>
      <c r="C107" s="4">
        <f>'Benchmarking Data'!I107</f>
        <v>6</v>
      </c>
      <c r="D107" s="4" t="str">
        <f>'Benchmarking Data'!G107</f>
        <v>Available</v>
      </c>
      <c r="E107" s="4" t="str">
        <f>'Benchmarking Data'!H107</f>
        <v>Not Available</v>
      </c>
      <c r="F107" s="4">
        <f>IF('Benchmarking Data'!G107="Available", 'Benchmarking Data'!I107, IF('Benchmarking Data'!G107="Yes", 'Benchmarking Data'!I107, IF('Benchmarking Data'!G107="Partial", 0.5*'Benchmarking Data'!I107, 0)))</f>
        <v>6</v>
      </c>
      <c r="G107" s="4">
        <f>IF('Benchmarking Data'!H107="Available", 'Benchmarking Data'!I107, IF('Benchmarking Data'!H107="Yes", 'Benchmarking Data'!I107, IF('Benchmarking Data'!H107="Partial", 0.5*'Benchmarking Data'!I107, 0)))</f>
        <v>0</v>
      </c>
    </row>
    <row r="108" spans="1:7" ht="15.75" customHeight="1">
      <c r="A108" s="4" t="str">
        <f>'Benchmarking Data'!A108</f>
        <v>BMK-1107</v>
      </c>
      <c r="B108" s="4" t="str">
        <f>'Benchmarking Data'!F108</f>
        <v>Ad-Hoc Query Engine</v>
      </c>
      <c r="C108" s="4">
        <f>'Benchmarking Data'!I108</f>
        <v>8</v>
      </c>
      <c r="D108" s="4" t="str">
        <f>'Benchmarking Data'!G108</f>
        <v>Partial</v>
      </c>
      <c r="E108" s="4" t="str">
        <f>'Benchmarking Data'!H108</f>
        <v>Not Available</v>
      </c>
      <c r="F108" s="4">
        <f>IF('Benchmarking Data'!G108="Available", 'Benchmarking Data'!I108, IF('Benchmarking Data'!G108="Yes", 'Benchmarking Data'!I108, IF('Benchmarking Data'!G108="Partial", 0.5*'Benchmarking Data'!I108, 0)))</f>
        <v>4</v>
      </c>
      <c r="G108" s="4">
        <f>IF('Benchmarking Data'!H108="Available", 'Benchmarking Data'!I108, IF('Benchmarking Data'!H108="Yes", 'Benchmarking Data'!I108, IF('Benchmarking Data'!H108="Partial", 0.5*'Benchmarking Data'!I108, 0)))</f>
        <v>0</v>
      </c>
    </row>
    <row r="109" spans="1:7" ht="15.75" customHeight="1">
      <c r="A109" s="4" t="str">
        <f>'Benchmarking Data'!A109</f>
        <v>BMK-1108</v>
      </c>
      <c r="B109" s="4" t="str">
        <f>'Benchmarking Data'!F109</f>
        <v>Automated PDF Reporting</v>
      </c>
      <c r="C109" s="4">
        <f>'Benchmarking Data'!I109</f>
        <v>7</v>
      </c>
      <c r="D109" s="4" t="str">
        <f>'Benchmarking Data'!G109</f>
        <v>Available</v>
      </c>
      <c r="E109" s="4" t="str">
        <f>'Benchmarking Data'!H109</f>
        <v>Partial</v>
      </c>
      <c r="F109" s="4">
        <f>IF('Benchmarking Data'!G109="Available", 'Benchmarking Data'!I109, IF('Benchmarking Data'!G109="Yes", 'Benchmarking Data'!I109, IF('Benchmarking Data'!G109="Partial", 0.5*'Benchmarking Data'!I109, 0)))</f>
        <v>7</v>
      </c>
      <c r="G109" s="4">
        <f>IF('Benchmarking Data'!H109="Available", 'Benchmarking Data'!I109, IF('Benchmarking Data'!H109="Yes", 'Benchmarking Data'!I109, IF('Benchmarking Data'!H109="Partial", 0.5*'Benchmarking Data'!I109, 0)))</f>
        <v>3.5</v>
      </c>
    </row>
    <row r="110" spans="1:7" ht="15.75" customHeight="1">
      <c r="A110" s="4" t="str">
        <f>'Benchmarking Data'!A110</f>
        <v>BMK-1109</v>
      </c>
      <c r="B110" s="4" t="str">
        <f>'Benchmarking Data'!F110</f>
        <v>Data Export (CSV/XLSX/JSON)</v>
      </c>
      <c r="C110" s="4">
        <f>'Benchmarking Data'!I110</f>
        <v>7</v>
      </c>
      <c r="D110" s="4" t="str">
        <f>'Benchmarking Data'!G110</f>
        <v>Partial</v>
      </c>
      <c r="E110" s="4" t="str">
        <f>'Benchmarking Data'!H110</f>
        <v>Not Available</v>
      </c>
      <c r="F110" s="4">
        <f>IF('Benchmarking Data'!G110="Available", 'Benchmarking Data'!I110, IF('Benchmarking Data'!G110="Yes", 'Benchmarking Data'!I110, IF('Benchmarking Data'!G110="Partial", 0.5*'Benchmarking Data'!I110, 0)))</f>
        <v>3.5</v>
      </c>
      <c r="G110" s="4">
        <f>IF('Benchmarking Data'!H110="Available", 'Benchmarking Data'!I110, IF('Benchmarking Data'!H110="Yes", 'Benchmarking Data'!I110, IF('Benchmarking Data'!H110="Partial", 0.5*'Benchmarking Data'!I110, 0)))</f>
        <v>0</v>
      </c>
    </row>
    <row r="111" spans="1:7" ht="15.75" customHeight="1">
      <c r="A111" s="4" t="str">
        <f>'Benchmarking Data'!A111</f>
        <v>BMK-1110</v>
      </c>
      <c r="B111" s="4" t="str">
        <f>'Benchmarking Data'!F111</f>
        <v>Interactive Drill-Downs</v>
      </c>
      <c r="C111" s="4">
        <f>'Benchmarking Data'!I111</f>
        <v>7</v>
      </c>
      <c r="D111" s="4" t="str">
        <f>'Benchmarking Data'!G111</f>
        <v>Partial</v>
      </c>
      <c r="E111" s="4" t="str">
        <f>'Benchmarking Data'!H111</f>
        <v>Partial</v>
      </c>
      <c r="F111" s="4">
        <f>IF('Benchmarking Data'!G111="Available", 'Benchmarking Data'!I111, IF('Benchmarking Data'!G111="Yes", 'Benchmarking Data'!I111, IF('Benchmarking Data'!G111="Partial", 0.5*'Benchmarking Data'!I111, 0)))</f>
        <v>3.5</v>
      </c>
      <c r="G111" s="4">
        <f>IF('Benchmarking Data'!H111="Available", 'Benchmarking Data'!I111, IF('Benchmarking Data'!H111="Yes", 'Benchmarking Data'!I111, IF('Benchmarking Data'!H111="Partial", 0.5*'Benchmarking Data'!I111, 0)))</f>
        <v>3.5</v>
      </c>
    </row>
    <row r="112" spans="1:7" ht="15.75" customHeight="1">
      <c r="A112" s="4" t="str">
        <f>'Benchmarking Data'!A112</f>
        <v>BMK-1111</v>
      </c>
      <c r="B112" s="4" t="str">
        <f>'Benchmarking Data'!F112</f>
        <v>Predictive Anomaly Detection</v>
      </c>
      <c r="C112" s="4">
        <f>'Benchmarking Data'!I112</f>
        <v>6</v>
      </c>
      <c r="D112" s="4" t="str">
        <f>'Benchmarking Data'!G112</f>
        <v>Available</v>
      </c>
      <c r="E112" s="4" t="str">
        <f>'Benchmarking Data'!H112</f>
        <v>Available</v>
      </c>
      <c r="F112" s="4">
        <f>IF('Benchmarking Data'!G112="Available", 'Benchmarking Data'!I112, IF('Benchmarking Data'!G112="Yes", 'Benchmarking Data'!I112, IF('Benchmarking Data'!G112="Partial", 0.5*'Benchmarking Data'!I112, 0)))</f>
        <v>6</v>
      </c>
      <c r="G112" s="4">
        <f>IF('Benchmarking Data'!H112="Available", 'Benchmarking Data'!I112, IF('Benchmarking Data'!H112="Yes", 'Benchmarking Data'!I112, IF('Benchmarking Data'!H112="Partial", 0.5*'Benchmarking Data'!I112, 0)))</f>
        <v>6</v>
      </c>
    </row>
    <row r="113" spans="1:7" ht="15.75" customHeight="1">
      <c r="A113" s="4" t="str">
        <f>'Benchmarking Data'!A113</f>
        <v>BMK-1112</v>
      </c>
      <c r="B113" s="4" t="str">
        <f>'Benchmarking Data'!F113</f>
        <v>Automated Insight Generation</v>
      </c>
      <c r="C113" s="4">
        <f>'Benchmarking Data'!I113</f>
        <v>10</v>
      </c>
      <c r="D113" s="4" t="str">
        <f>'Benchmarking Data'!G113</f>
        <v>Partial</v>
      </c>
      <c r="E113" s="4" t="str">
        <f>'Benchmarking Data'!H113</f>
        <v>Partial</v>
      </c>
      <c r="F113" s="4">
        <f>IF('Benchmarking Data'!G113="Available", 'Benchmarking Data'!I113, IF('Benchmarking Data'!G113="Yes", 'Benchmarking Data'!I113, IF('Benchmarking Data'!G113="Partial", 0.5*'Benchmarking Data'!I113, 0)))</f>
        <v>5</v>
      </c>
      <c r="G113" s="4">
        <f>IF('Benchmarking Data'!H113="Available", 'Benchmarking Data'!I113, IF('Benchmarking Data'!H113="Yes", 'Benchmarking Data'!I113, IF('Benchmarking Data'!H113="Partial", 0.5*'Benchmarking Data'!I113, 0)))</f>
        <v>5</v>
      </c>
    </row>
    <row r="114" spans="1:7" ht="15.75" customHeight="1">
      <c r="A114" s="4" t="str">
        <f>'Benchmarking Data'!A114</f>
        <v>BMK-1113</v>
      </c>
      <c r="B114" s="4" t="str">
        <f>'Benchmarking Data'!F114</f>
        <v>Natural Language Querying (NLQ)</v>
      </c>
      <c r="C114" s="4">
        <f>'Benchmarking Data'!I114</f>
        <v>6</v>
      </c>
      <c r="D114" s="4" t="str">
        <f>'Benchmarking Data'!G114</f>
        <v>Partial</v>
      </c>
      <c r="E114" s="4" t="str">
        <f>'Benchmarking Data'!H114</f>
        <v>Available</v>
      </c>
      <c r="F114" s="4">
        <f>IF('Benchmarking Data'!G114="Available", 'Benchmarking Data'!I114, IF('Benchmarking Data'!G114="Yes", 'Benchmarking Data'!I114, IF('Benchmarking Data'!G114="Partial", 0.5*'Benchmarking Data'!I114, 0)))</f>
        <v>3</v>
      </c>
      <c r="G114" s="4">
        <f>IF('Benchmarking Data'!H114="Available", 'Benchmarking Data'!I114, IF('Benchmarking Data'!H114="Yes", 'Benchmarking Data'!I114, IF('Benchmarking Data'!H114="Partial", 0.5*'Benchmarking Data'!I114, 0)))</f>
        <v>6</v>
      </c>
    </row>
    <row r="115" spans="1:7" ht="15.75" customHeight="1">
      <c r="A115" s="4" t="str">
        <f>'Benchmarking Data'!A115</f>
        <v>BMK-1114</v>
      </c>
      <c r="B115" s="4" t="str">
        <f>'Benchmarking Data'!F115</f>
        <v>Forecasting &amp; Trend Projection</v>
      </c>
      <c r="C115" s="4">
        <f>'Benchmarking Data'!I115</f>
        <v>10</v>
      </c>
      <c r="D115" s="4" t="str">
        <f>'Benchmarking Data'!G115</f>
        <v>Available</v>
      </c>
      <c r="E115" s="4" t="str">
        <f>'Benchmarking Data'!H115</f>
        <v>Available</v>
      </c>
      <c r="F115" s="4">
        <f>IF('Benchmarking Data'!G115="Available", 'Benchmarking Data'!I115, IF('Benchmarking Data'!G115="Yes", 'Benchmarking Data'!I115, IF('Benchmarking Data'!G115="Partial", 0.5*'Benchmarking Data'!I115, 0)))</f>
        <v>10</v>
      </c>
      <c r="G115" s="4">
        <f>IF('Benchmarking Data'!H115="Available", 'Benchmarking Data'!I115, IF('Benchmarking Data'!H115="Yes", 'Benchmarking Data'!I115, IF('Benchmarking Data'!H115="Partial", 0.5*'Benchmarking Data'!I115, 0)))</f>
        <v>10</v>
      </c>
    </row>
    <row r="116" spans="1:7" ht="15.75" customHeight="1">
      <c r="A116" s="4" t="str">
        <f>'Benchmarking Data'!A116</f>
        <v>BMK-1115</v>
      </c>
      <c r="B116" s="4" t="str">
        <f>'Benchmarking Data'!F116</f>
        <v>Smart Alerting &amp; Triggers</v>
      </c>
      <c r="C116" s="4">
        <f>'Benchmarking Data'!I116</f>
        <v>9</v>
      </c>
      <c r="D116" s="4" t="str">
        <f>'Benchmarking Data'!G116</f>
        <v>Available</v>
      </c>
      <c r="E116" s="4" t="str">
        <f>'Benchmarking Data'!H116</f>
        <v>Available</v>
      </c>
      <c r="F116" s="4">
        <f>IF('Benchmarking Data'!G116="Available", 'Benchmarking Data'!I116, IF('Benchmarking Data'!G116="Yes", 'Benchmarking Data'!I116, IF('Benchmarking Data'!G116="Partial", 0.5*'Benchmarking Data'!I116, 0)))</f>
        <v>9</v>
      </c>
      <c r="G116" s="4">
        <f>IF('Benchmarking Data'!H116="Available", 'Benchmarking Data'!I116, IF('Benchmarking Data'!H116="Yes", 'Benchmarking Data'!I116, IF('Benchmarking Data'!H116="Partial", 0.5*'Benchmarking Data'!I116, 0)))</f>
        <v>9</v>
      </c>
    </row>
    <row r="117" spans="1:7" ht="15.75" customHeight="1">
      <c r="A117" s="4" t="str">
        <f>'Benchmarking Data'!A117</f>
        <v>BMK-1116</v>
      </c>
      <c r="B117" s="4" t="str">
        <f>'Benchmarking Data'!F117</f>
        <v>REST API &amp; Webhooks</v>
      </c>
      <c r="C117" s="4">
        <f>'Benchmarking Data'!I117</f>
        <v>6</v>
      </c>
      <c r="D117" s="4" t="str">
        <f>'Benchmarking Data'!G117</f>
        <v>Available</v>
      </c>
      <c r="E117" s="4" t="str">
        <f>'Benchmarking Data'!H117</f>
        <v>Partial</v>
      </c>
      <c r="F117" s="4">
        <f>IF('Benchmarking Data'!G117="Available", 'Benchmarking Data'!I117, IF('Benchmarking Data'!G117="Yes", 'Benchmarking Data'!I117, IF('Benchmarking Data'!G117="Partial", 0.5*'Benchmarking Data'!I117, 0)))</f>
        <v>6</v>
      </c>
      <c r="G117" s="4">
        <f>IF('Benchmarking Data'!H117="Available", 'Benchmarking Data'!I117, IF('Benchmarking Data'!H117="Yes", 'Benchmarking Data'!I117, IF('Benchmarking Data'!H117="Partial", 0.5*'Benchmarking Data'!I117, 0)))</f>
        <v>3</v>
      </c>
    </row>
    <row r="118" spans="1:7" ht="15.75" customHeight="1">
      <c r="A118" s="4" t="str">
        <f>'Benchmarking Data'!A118</f>
        <v>BMK-1117</v>
      </c>
      <c r="B118" s="4" t="str">
        <f>'Benchmarking Data'!F118</f>
        <v>Pre-built Salesforce Connector</v>
      </c>
      <c r="C118" s="4">
        <f>'Benchmarking Data'!I118</f>
        <v>6</v>
      </c>
      <c r="D118" s="4" t="str">
        <f>'Benchmarking Data'!G118</f>
        <v>Available</v>
      </c>
      <c r="E118" s="4" t="str">
        <f>'Benchmarking Data'!H118</f>
        <v>Partial</v>
      </c>
      <c r="F118" s="4">
        <f>IF('Benchmarking Data'!G118="Available", 'Benchmarking Data'!I118, IF('Benchmarking Data'!G118="Yes", 'Benchmarking Data'!I118, IF('Benchmarking Data'!G118="Partial", 0.5*'Benchmarking Data'!I118, 0)))</f>
        <v>6</v>
      </c>
      <c r="G118" s="4">
        <f>IF('Benchmarking Data'!H118="Available", 'Benchmarking Data'!I118, IF('Benchmarking Data'!H118="Yes", 'Benchmarking Data'!I118, IF('Benchmarking Data'!H118="Partial", 0.5*'Benchmarking Data'!I118, 0)))</f>
        <v>3</v>
      </c>
    </row>
    <row r="119" spans="1:7" ht="15.75" customHeight="1">
      <c r="A119" s="4" t="str">
        <f>'Benchmarking Data'!A119</f>
        <v>BMK-1118</v>
      </c>
      <c r="B119" s="4" t="str">
        <f>'Benchmarking Data'!F119</f>
        <v>Snowflake &amp; BigQuery Sync</v>
      </c>
      <c r="C119" s="4">
        <f>'Benchmarking Data'!I119</f>
        <v>6</v>
      </c>
      <c r="D119" s="4" t="str">
        <f>'Benchmarking Data'!G119</f>
        <v>Available</v>
      </c>
      <c r="E119" s="4" t="str">
        <f>'Benchmarking Data'!H119</f>
        <v>Partial</v>
      </c>
      <c r="F119" s="4">
        <f>IF('Benchmarking Data'!G119="Available", 'Benchmarking Data'!I119, IF('Benchmarking Data'!G119="Yes", 'Benchmarking Data'!I119, IF('Benchmarking Data'!G119="Partial", 0.5*'Benchmarking Data'!I119, 0)))</f>
        <v>6</v>
      </c>
      <c r="G119" s="4">
        <f>IF('Benchmarking Data'!H119="Available", 'Benchmarking Data'!I119, IF('Benchmarking Data'!H119="Yes", 'Benchmarking Data'!I119, IF('Benchmarking Data'!H119="Partial", 0.5*'Benchmarking Data'!I119, 0)))</f>
        <v>3</v>
      </c>
    </row>
    <row r="120" spans="1:7" ht="15.75" customHeight="1">
      <c r="A120" s="4" t="str">
        <f>'Benchmarking Data'!A120</f>
        <v>BMK-1119</v>
      </c>
      <c r="B120" s="4" t="str">
        <f>'Benchmarking Data'!F120</f>
        <v>Zapier &amp; Make Integration</v>
      </c>
      <c r="C120" s="4">
        <f>'Benchmarking Data'!I120</f>
        <v>7</v>
      </c>
      <c r="D120" s="4" t="str">
        <f>'Benchmarking Data'!G120</f>
        <v>Available</v>
      </c>
      <c r="E120" s="4" t="str">
        <f>'Benchmarking Data'!H120</f>
        <v>Available</v>
      </c>
      <c r="F120" s="4">
        <f>IF('Benchmarking Data'!G120="Available", 'Benchmarking Data'!I120, IF('Benchmarking Data'!G120="Yes", 'Benchmarking Data'!I120, IF('Benchmarking Data'!G120="Partial", 0.5*'Benchmarking Data'!I120, 0)))</f>
        <v>7</v>
      </c>
      <c r="G120" s="4">
        <f>IF('Benchmarking Data'!H120="Available", 'Benchmarking Data'!I120, IF('Benchmarking Data'!H120="Yes", 'Benchmarking Data'!I120, IF('Benchmarking Data'!H120="Partial", 0.5*'Benchmarking Data'!I120, 0)))</f>
        <v>7</v>
      </c>
    </row>
    <row r="121" spans="1:7" ht="15.75" customHeight="1">
      <c r="A121" s="4" t="str">
        <f>'Benchmarking Data'!A121</f>
        <v>BMK-1120</v>
      </c>
      <c r="B121" s="4" t="str">
        <f>'Benchmarking Data'!F121</f>
        <v>Custom ETL Scripting Support</v>
      </c>
      <c r="C121" s="4">
        <f>'Benchmarking Data'!I121</f>
        <v>7</v>
      </c>
      <c r="D121" s="4" t="str">
        <f>'Benchmarking Data'!G121</f>
        <v>Available</v>
      </c>
      <c r="E121" s="4" t="str">
        <f>'Benchmarking Data'!H121</f>
        <v>Available</v>
      </c>
      <c r="F121" s="4">
        <f>IF('Benchmarking Data'!G121="Available", 'Benchmarking Data'!I121, IF('Benchmarking Data'!G121="Yes", 'Benchmarking Data'!I121, IF('Benchmarking Data'!G121="Partial", 0.5*'Benchmarking Data'!I121, 0)))</f>
        <v>7</v>
      </c>
      <c r="G121" s="4">
        <f>IF('Benchmarking Data'!H121="Available", 'Benchmarking Data'!I121, IF('Benchmarking Data'!H121="Yes", 'Benchmarking Data'!I121, IF('Benchmarking Data'!H121="Partial", 0.5*'Benchmarking Data'!I121, 0)))</f>
        <v>7</v>
      </c>
    </row>
    <row r="122" spans="1:7" ht="15.75" customHeight="1">
      <c r="A122" s="4" t="str">
        <f>'Benchmarking Data'!A122</f>
        <v>BMK-1121</v>
      </c>
      <c r="B122" s="4" t="str">
        <f>'Benchmarking Data'!F122</f>
        <v>Role-Based Access Control (RBAC)</v>
      </c>
      <c r="C122" s="4">
        <f>'Benchmarking Data'!I122</f>
        <v>10</v>
      </c>
      <c r="D122" s="4" t="str">
        <f>'Benchmarking Data'!G122</f>
        <v>Available</v>
      </c>
      <c r="E122" s="4" t="str">
        <f>'Benchmarking Data'!H122</f>
        <v>Partial</v>
      </c>
      <c r="F122" s="4">
        <f>IF('Benchmarking Data'!G122="Available", 'Benchmarking Data'!I122, IF('Benchmarking Data'!G122="Yes", 'Benchmarking Data'!I122, IF('Benchmarking Data'!G122="Partial", 0.5*'Benchmarking Data'!I122, 0)))</f>
        <v>10</v>
      </c>
      <c r="G122" s="4">
        <f>IF('Benchmarking Data'!H122="Available", 'Benchmarking Data'!I122, IF('Benchmarking Data'!H122="Yes", 'Benchmarking Data'!I122, IF('Benchmarking Data'!H122="Partial", 0.5*'Benchmarking Data'!I122, 0)))</f>
        <v>5</v>
      </c>
    </row>
    <row r="123" spans="1:7" ht="15.75" customHeight="1">
      <c r="A123" s="4" t="str">
        <f>'Benchmarking Data'!A123</f>
        <v>BMK-1122</v>
      </c>
      <c r="B123" s="4" t="str">
        <f>'Benchmarking Data'!F123</f>
        <v>SOC2 Type II Compliance</v>
      </c>
      <c r="C123" s="4">
        <f>'Benchmarking Data'!I123</f>
        <v>10</v>
      </c>
      <c r="D123" s="4" t="str">
        <f>'Benchmarking Data'!G123</f>
        <v>Available</v>
      </c>
      <c r="E123" s="4" t="str">
        <f>'Benchmarking Data'!H123</f>
        <v>Partial</v>
      </c>
      <c r="F123" s="4">
        <f>IF('Benchmarking Data'!G123="Available", 'Benchmarking Data'!I123, IF('Benchmarking Data'!G123="Yes", 'Benchmarking Data'!I123, IF('Benchmarking Data'!G123="Partial", 0.5*'Benchmarking Data'!I123, 0)))</f>
        <v>10</v>
      </c>
      <c r="G123" s="4">
        <f>IF('Benchmarking Data'!H123="Available", 'Benchmarking Data'!I123, IF('Benchmarking Data'!H123="Yes", 'Benchmarking Data'!I123, IF('Benchmarking Data'!H123="Partial", 0.5*'Benchmarking Data'!I123, 0)))</f>
        <v>5</v>
      </c>
    </row>
    <row r="124" spans="1:7" ht="15.75" customHeight="1">
      <c r="A124" s="4" t="str">
        <f>'Benchmarking Data'!A124</f>
        <v>BMK-1123</v>
      </c>
      <c r="B124" s="4" t="str">
        <f>'Benchmarking Data'!F124</f>
        <v>Single Sign-On (SSO / SAML)</v>
      </c>
      <c r="C124" s="4">
        <f>'Benchmarking Data'!I124</f>
        <v>6</v>
      </c>
      <c r="D124" s="4" t="str">
        <f>'Benchmarking Data'!G124</f>
        <v>Partial</v>
      </c>
      <c r="E124" s="4" t="str">
        <f>'Benchmarking Data'!H124</f>
        <v>Not Available</v>
      </c>
      <c r="F124" s="4">
        <f>IF('Benchmarking Data'!G124="Available", 'Benchmarking Data'!I124, IF('Benchmarking Data'!G124="Yes", 'Benchmarking Data'!I124, IF('Benchmarking Data'!G124="Partial", 0.5*'Benchmarking Data'!I124, 0)))</f>
        <v>3</v>
      </c>
      <c r="G124" s="4">
        <f>IF('Benchmarking Data'!H124="Available", 'Benchmarking Data'!I124, IF('Benchmarking Data'!H124="Yes", 'Benchmarking Data'!I124, IF('Benchmarking Data'!H124="Partial", 0.5*'Benchmarking Data'!I124, 0)))</f>
        <v>0</v>
      </c>
    </row>
    <row r="125" spans="1:7" ht="15.75" customHeight="1">
      <c r="A125" s="4" t="str">
        <f>'Benchmarking Data'!A125</f>
        <v>BMK-1124</v>
      </c>
      <c r="B125" s="4" t="str">
        <f>'Benchmarking Data'!F125</f>
        <v>Data Masking &amp; Encryption at Rest</v>
      </c>
      <c r="C125" s="4">
        <f>'Benchmarking Data'!I125</f>
        <v>10</v>
      </c>
      <c r="D125" s="4" t="str">
        <f>'Benchmarking Data'!G125</f>
        <v>Available</v>
      </c>
      <c r="E125" s="4" t="str">
        <f>'Benchmarking Data'!H125</f>
        <v>Not Available</v>
      </c>
      <c r="F125" s="4">
        <f>IF('Benchmarking Data'!G125="Available", 'Benchmarking Data'!I125, IF('Benchmarking Data'!G125="Yes", 'Benchmarking Data'!I125, IF('Benchmarking Data'!G125="Partial", 0.5*'Benchmarking Data'!I125, 0)))</f>
        <v>10</v>
      </c>
      <c r="G125" s="4">
        <f>IF('Benchmarking Data'!H125="Available", 'Benchmarking Data'!I125, IF('Benchmarking Data'!H125="Yes", 'Benchmarking Data'!I125, IF('Benchmarking Data'!H125="Partial", 0.5*'Benchmarking Data'!I125, 0)))</f>
        <v>0</v>
      </c>
    </row>
    <row r="126" spans="1:7" ht="15.75" customHeight="1">
      <c r="A126" s="4" t="str">
        <f>'Benchmarking Data'!A126</f>
        <v>BMK-1125</v>
      </c>
      <c r="B126" s="4" t="str">
        <f>'Benchmarking Data'!F126</f>
        <v>Audit Logging &amp; Activity Trails</v>
      </c>
      <c r="C126" s="4">
        <f>'Benchmarking Data'!I126</f>
        <v>7</v>
      </c>
      <c r="D126" s="4" t="str">
        <f>'Benchmarking Data'!G126</f>
        <v>Available</v>
      </c>
      <c r="E126" s="4" t="str">
        <f>'Benchmarking Data'!H126</f>
        <v>Not Available</v>
      </c>
      <c r="F126" s="4">
        <f>IF('Benchmarking Data'!G126="Available", 'Benchmarking Data'!I126, IF('Benchmarking Data'!G126="Yes", 'Benchmarking Data'!I126, IF('Benchmarking Data'!G126="Partial", 0.5*'Benchmarking Data'!I126, 0)))</f>
        <v>7</v>
      </c>
      <c r="G126" s="4">
        <f>IF('Benchmarking Data'!H126="Available", 'Benchmarking Data'!I126, IF('Benchmarking Data'!H126="Yes", 'Benchmarking Data'!I126, IF('Benchmarking Data'!H126="Partial", 0.5*'Benchmarking Data'!I126, 0)))</f>
        <v>0</v>
      </c>
    </row>
    <row r="127" spans="1:7" ht="15.75" customHeight="1">
      <c r="A127" s="4" t="str">
        <f>'Benchmarking Data'!A127</f>
        <v>BMK-1126</v>
      </c>
      <c r="B127" s="4" t="str">
        <f>'Benchmarking Data'!F127</f>
        <v>Native iOS &amp; Android App</v>
      </c>
      <c r="C127" s="4">
        <f>'Benchmarking Data'!I127</f>
        <v>10</v>
      </c>
      <c r="D127" s="4" t="str">
        <f>'Benchmarking Data'!G127</f>
        <v>Available</v>
      </c>
      <c r="E127" s="4" t="str">
        <f>'Benchmarking Data'!H127</f>
        <v>Not Available</v>
      </c>
      <c r="F127" s="4">
        <f>IF('Benchmarking Data'!G127="Available", 'Benchmarking Data'!I127, IF('Benchmarking Data'!G127="Yes", 'Benchmarking Data'!I127, IF('Benchmarking Data'!G127="Partial", 0.5*'Benchmarking Data'!I127, 0)))</f>
        <v>10</v>
      </c>
      <c r="G127" s="4">
        <f>IF('Benchmarking Data'!H127="Available", 'Benchmarking Data'!I127, IF('Benchmarking Data'!H127="Yes", 'Benchmarking Data'!I127, IF('Benchmarking Data'!H127="Partial", 0.5*'Benchmarking Data'!I127, 0)))</f>
        <v>0</v>
      </c>
    </row>
    <row r="128" spans="1:7" ht="15.75" customHeight="1">
      <c r="A128" s="4" t="str">
        <f>'Benchmarking Data'!A128</f>
        <v>BMK-1127</v>
      </c>
      <c r="B128" s="4" t="str">
        <f>'Benchmarking Data'!F128</f>
        <v>Dark Mode / Custom Themes</v>
      </c>
      <c r="C128" s="4">
        <f>'Benchmarking Data'!I128</f>
        <v>9</v>
      </c>
      <c r="D128" s="4" t="str">
        <f>'Benchmarking Data'!G128</f>
        <v>Available</v>
      </c>
      <c r="E128" s="4" t="str">
        <f>'Benchmarking Data'!H128</f>
        <v>Not Available</v>
      </c>
      <c r="F128" s="4">
        <f>IF('Benchmarking Data'!G128="Available", 'Benchmarking Data'!I128, IF('Benchmarking Data'!G128="Yes", 'Benchmarking Data'!I128, IF('Benchmarking Data'!G128="Partial", 0.5*'Benchmarking Data'!I128, 0)))</f>
        <v>9</v>
      </c>
      <c r="G128" s="4">
        <f>IF('Benchmarking Data'!H128="Available", 'Benchmarking Data'!I128, IF('Benchmarking Data'!H128="Yes", 'Benchmarking Data'!I128, IF('Benchmarking Data'!H128="Partial", 0.5*'Benchmarking Data'!I128, 0)))</f>
        <v>0</v>
      </c>
    </row>
    <row r="129" spans="1:7" ht="15.75" customHeight="1">
      <c r="A129" s="4" t="str">
        <f>'Benchmarking Data'!A129</f>
        <v>BMK-1128</v>
      </c>
      <c r="B129" s="4" t="str">
        <f>'Benchmarking Data'!F129</f>
        <v>Collaborative Comments &amp; Tagging</v>
      </c>
      <c r="C129" s="4">
        <f>'Benchmarking Data'!I129</f>
        <v>7</v>
      </c>
      <c r="D129" s="4" t="str">
        <f>'Benchmarking Data'!G129</f>
        <v>Available</v>
      </c>
      <c r="E129" s="4" t="str">
        <f>'Benchmarking Data'!H129</f>
        <v>Not Available</v>
      </c>
      <c r="F129" s="4">
        <f>IF('Benchmarking Data'!G129="Available", 'Benchmarking Data'!I129, IF('Benchmarking Data'!G129="Yes", 'Benchmarking Data'!I129, IF('Benchmarking Data'!G129="Partial", 0.5*'Benchmarking Data'!I129, 0)))</f>
        <v>7</v>
      </c>
      <c r="G129" s="4">
        <f>IF('Benchmarking Data'!H129="Available", 'Benchmarking Data'!I129, IF('Benchmarking Data'!H129="Yes", 'Benchmarking Data'!I129, IF('Benchmarking Data'!H129="Partial", 0.5*'Benchmarking Data'!I129, 0)))</f>
        <v>0</v>
      </c>
    </row>
    <row r="130" spans="1:7" ht="15.75" customHeight="1">
      <c r="A130" s="4" t="str">
        <f>'Benchmarking Data'!A130</f>
        <v>BMK-1129</v>
      </c>
      <c r="B130" s="4" t="str">
        <f>'Benchmarking Data'!F130</f>
        <v>Multi-Language Localization</v>
      </c>
      <c r="C130" s="4">
        <f>'Benchmarking Data'!I130</f>
        <v>9</v>
      </c>
      <c r="D130" s="4" t="str">
        <f>'Benchmarking Data'!G130</f>
        <v>Available</v>
      </c>
      <c r="E130" s="4" t="str">
        <f>'Benchmarking Data'!H130</f>
        <v>Available</v>
      </c>
      <c r="F130" s="4">
        <f>IF('Benchmarking Data'!G130="Available", 'Benchmarking Data'!I130, IF('Benchmarking Data'!G130="Yes", 'Benchmarking Data'!I130, IF('Benchmarking Data'!G130="Partial", 0.5*'Benchmarking Data'!I130, 0)))</f>
        <v>9</v>
      </c>
      <c r="G130" s="4">
        <f>IF('Benchmarking Data'!H130="Available", 'Benchmarking Data'!I130, IF('Benchmarking Data'!H130="Yes", 'Benchmarking Data'!I130, IF('Benchmarking Data'!H130="Partial", 0.5*'Benchmarking Data'!I130, 0)))</f>
        <v>9</v>
      </c>
    </row>
    <row r="131" spans="1:7" ht="15.75" customHeight="1">
      <c r="A131" s="4" t="str">
        <f>'Benchmarking Data'!A131</f>
        <v>BMK-1130</v>
      </c>
      <c r="B131" s="4" t="str">
        <f>'Benchmarking Data'!F131</f>
        <v>Custom White-Labeling</v>
      </c>
      <c r="C131" s="4">
        <f>'Benchmarking Data'!I131</f>
        <v>10</v>
      </c>
      <c r="D131" s="4" t="str">
        <f>'Benchmarking Data'!G131</f>
        <v>Partial</v>
      </c>
      <c r="E131" s="4" t="str">
        <f>'Benchmarking Data'!H131</f>
        <v>Partial</v>
      </c>
      <c r="F131" s="4">
        <f>IF('Benchmarking Data'!G131="Available", 'Benchmarking Data'!I131, IF('Benchmarking Data'!G131="Yes", 'Benchmarking Data'!I131, IF('Benchmarking Data'!G131="Partial", 0.5*'Benchmarking Data'!I131, 0)))</f>
        <v>5</v>
      </c>
      <c r="G131" s="4">
        <f>IF('Benchmarking Data'!H131="Available", 'Benchmarking Data'!I131, IF('Benchmarking Data'!H131="Yes", 'Benchmarking Data'!I131, IF('Benchmarking Data'!H131="Partial", 0.5*'Benchmarking Data'!I131, 0)))</f>
        <v>5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selection activeCell="B11" sqref="B11"/>
    </sheetView>
  </sheetViews>
  <sheetFormatPr defaultColWidth="12.6328125" defaultRowHeight="15" customHeight="1"/>
  <cols>
    <col min="1" max="1" width="33.26953125" style="3" customWidth="1"/>
    <col min="2" max="2" width="74.36328125" style="3" customWidth="1"/>
    <col min="3" max="3" width="14" style="3" customWidth="1"/>
    <col min="4" max="11" width="7.6328125" style="3" customWidth="1"/>
    <col min="12" max="16384" width="12.6328125" style="3"/>
  </cols>
  <sheetData>
    <row r="1" spans="1:3" ht="14.5">
      <c r="A1" s="13" t="s">
        <v>249</v>
      </c>
      <c r="B1" s="13" t="s">
        <v>250</v>
      </c>
      <c r="C1" s="13" t="s">
        <v>251</v>
      </c>
    </row>
    <row r="2" spans="1:3" ht="14.5">
      <c r="A2" s="14" t="s">
        <v>252</v>
      </c>
      <c r="B2" s="14">
        <f>COUNTIF('Benchmarking Data'!G2:G131, "Available")/COUNTA('Benchmarking Data'!G2:G131)</f>
        <v>0.72307692307692306</v>
      </c>
      <c r="C2" s="14" t="s">
        <v>253</v>
      </c>
    </row>
    <row r="3" spans="1:3" ht="14.5">
      <c r="A3" s="14" t="s">
        <v>254</v>
      </c>
      <c r="B3" s="14">
        <f>AVERAGE('Benchmarking Data'!M2:M131)/AVERAGE('Benchmarking Data'!N2:N131)</f>
        <v>0.73529411764705888</v>
      </c>
      <c r="C3" s="14" t="s">
        <v>255</v>
      </c>
    </row>
    <row r="4" spans="1:3" ht="14.5">
      <c r="A4" s="14" t="s">
        <v>256</v>
      </c>
      <c r="B4" s="14">
        <f>AVERAGE('Benchmarking Data'!K2:K131)/AVERAGE('Benchmarking Data'!L2:L131)</f>
        <v>1.0514035727305873</v>
      </c>
      <c r="C4" s="14" t="s">
        <v>255</v>
      </c>
    </row>
    <row r="5" spans="1:3" ht="14.5">
      <c r="A5" s="14" t="s">
        <v>257</v>
      </c>
      <c r="B5" s="14">
        <f>AVERAGE('Benchmarking Data'!X2:X131)</f>
        <v>0.26538461538461539</v>
      </c>
      <c r="C5" s="14" t="s">
        <v>258</v>
      </c>
    </row>
    <row r="6" spans="1:3" ht="14.5">
      <c r="A6" s="14" t="s">
        <v>259</v>
      </c>
      <c r="B6" s="14">
        <f>AVERAGE('Benchmarking Data'!K2:K131)</f>
        <v>4.4369230769230779</v>
      </c>
      <c r="C6" s="14" t="s">
        <v>260</v>
      </c>
    </row>
    <row r="7" spans="1:3" ht="14.5">
      <c r="A7" s="14" t="s">
        <v>261</v>
      </c>
      <c r="B7" s="14">
        <f>AVERAGE('Benchmarking Data'!L2:L131)</f>
        <v>4.22</v>
      </c>
      <c r="C7" s="14" t="s">
        <v>260</v>
      </c>
    </row>
    <row r="8" spans="1:3" ht="14.5">
      <c r="A8" s="14" t="s">
        <v>262</v>
      </c>
      <c r="B8" s="14">
        <f>AVERAGE('Benchmarking Data'!Z2:Z131)</f>
        <v>4.7330769230769238</v>
      </c>
      <c r="C8" s="14" t="s">
        <v>263</v>
      </c>
    </row>
    <row r="9" spans="1:3" ht="14.5">
      <c r="A9" s="14" t="s">
        <v>264</v>
      </c>
      <c r="B9" s="14">
        <f>AVERAGE('Benchmarking Data'!Y2:Y131)</f>
        <v>3.821538461538462</v>
      </c>
      <c r="C9" s="14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selection activeCell="B12" sqref="B12"/>
    </sheetView>
  </sheetViews>
  <sheetFormatPr defaultColWidth="12.6328125" defaultRowHeight="15" customHeight="1"/>
  <cols>
    <col min="1" max="1" width="30.7265625" style="3" customWidth="1"/>
    <col min="2" max="2" width="23.54296875" style="3" customWidth="1"/>
    <col min="3" max="3" width="27" style="3" customWidth="1"/>
    <col min="4" max="4" width="28" style="3" customWidth="1"/>
    <col min="5" max="5" width="40.54296875" style="3" customWidth="1"/>
    <col min="6" max="6" width="26.6328125" style="3" customWidth="1"/>
    <col min="7" max="11" width="7.6328125" style="3" customWidth="1"/>
    <col min="12" max="16384" width="12.6328125" style="3"/>
  </cols>
  <sheetData>
    <row r="1" spans="1:6" ht="14.5">
      <c r="A1" s="8" t="s">
        <v>5</v>
      </c>
      <c r="B1" s="8" t="s">
        <v>247</v>
      </c>
      <c r="C1" s="8" t="s">
        <v>265</v>
      </c>
      <c r="D1" s="8" t="s">
        <v>266</v>
      </c>
      <c r="E1" s="8" t="s">
        <v>267</v>
      </c>
      <c r="F1" s="8" t="s">
        <v>26</v>
      </c>
    </row>
    <row r="2" spans="1:6" ht="14.5">
      <c r="A2" s="4" t="str">
        <f>'Feature List'!B2</f>
        <v>Real-Time Data Streaming</v>
      </c>
      <c r="B2" s="4">
        <f>AVERAGEIF('Feature Scoring'!B2:B131, 'Feature List'!B2, 'Feature Scoring'!F2:F131)</f>
        <v>6</v>
      </c>
      <c r="C2" s="4">
        <f>MAX('Feature Scoring'!G2:G131, 'Feature Scoring'!B2:B131, 'Feature List'!B2)</f>
        <v>10</v>
      </c>
      <c r="D2" s="4" t="str">
        <f t="shared" ref="D2:D27" si="0">IF(C2&gt;B2, "Gap", "No Gap")</f>
        <v>Gap</v>
      </c>
      <c r="E2" s="4" t="str">
        <f>IF(D2="No Gap", "None", IF((C2-B2)*'Feature List'!C2&gt;=15, "Critical", IF((C2-B2)*'Feature List'!C2&gt;=7, "Moderate", "Low")))</f>
        <v>Critical</v>
      </c>
      <c r="F2" s="4" t="str">
        <f t="shared" ref="F2:F27" si="1">IF(E2="Critical", "High", IF(E2="Moderate", "Medium", "Low"))</f>
        <v>High</v>
      </c>
    </row>
    <row r="3" spans="1:6" ht="14.5">
      <c r="A3" s="4" t="str">
        <f>'Feature List'!B3</f>
        <v>Custom Dashboard Builder</v>
      </c>
      <c r="B3" s="4">
        <f>AVERAGEIF('Feature Scoring'!B2:B131, 'Feature List'!B3, 'Feature Scoring'!F2:F131)</f>
        <v>4.8</v>
      </c>
      <c r="C3" s="4">
        <f>MAX('Feature Scoring'!G3:G132, 'Feature Scoring'!B3:B132, 'Feature List'!B3)</f>
        <v>10</v>
      </c>
      <c r="D3" s="4" t="str">
        <f t="shared" si="0"/>
        <v>Gap</v>
      </c>
      <c r="E3" s="4" t="str">
        <f>IF(D3="No Gap", "None", IF((C3-B3)*'Feature List'!C3&gt;=15, "Critical", IF((C3-B3)*'Feature List'!C3&gt;=7, "Moderate", "Low")))</f>
        <v>Critical</v>
      </c>
      <c r="F3" s="4" t="str">
        <f t="shared" si="1"/>
        <v>High</v>
      </c>
    </row>
    <row r="4" spans="1:6" ht="14.5">
      <c r="A4" s="4" t="str">
        <f>'Feature List'!B4</f>
        <v>Ad-Hoc Query Engine</v>
      </c>
      <c r="B4" s="4">
        <f>AVERAGEIF('Feature Scoring'!B2:B131, 'Feature List'!B4, 'Feature Scoring'!F2:F131)</f>
        <v>6.4</v>
      </c>
      <c r="C4" s="4">
        <f>MAX('Feature Scoring'!G4:G133, 'Feature Scoring'!B4:B133, 'Feature List'!B4)</f>
        <v>10</v>
      </c>
      <c r="D4" s="4" t="str">
        <f t="shared" si="0"/>
        <v>Gap</v>
      </c>
      <c r="E4" s="4" t="str">
        <f>IF(D4="No Gap", "None", IF((C4-B4)*'Feature List'!C4&gt;=15, "Critical", IF((C4-B4)*'Feature List'!C4&gt;=7, "Moderate", "Low")))</f>
        <v>Critical</v>
      </c>
      <c r="F4" s="4" t="str">
        <f t="shared" si="1"/>
        <v>High</v>
      </c>
    </row>
    <row r="5" spans="1:6" ht="14.5">
      <c r="A5" s="4" t="str">
        <f>'Feature List'!B5</f>
        <v>Automated PDF Reporting</v>
      </c>
      <c r="B5" s="4">
        <f>AVERAGEIF('Feature Scoring'!B2:B131, 'Feature List'!B5, 'Feature Scoring'!F2:F131)</f>
        <v>7</v>
      </c>
      <c r="C5" s="4">
        <f>MAX('Feature Scoring'!G5:G134, 'Feature Scoring'!B5:B134, 'Feature List'!B5)</f>
        <v>10</v>
      </c>
      <c r="D5" s="4" t="str">
        <f t="shared" si="0"/>
        <v>Gap</v>
      </c>
      <c r="E5" s="4" t="str">
        <f>IF(D5="No Gap", "None", IF((C5-B5)*'Feature List'!C5&gt;=15, "Critical", IF((C5-B5)*'Feature List'!C5&gt;=7, "Moderate", "Low")))</f>
        <v>Critical</v>
      </c>
      <c r="F5" s="4" t="str">
        <f t="shared" si="1"/>
        <v>High</v>
      </c>
    </row>
    <row r="6" spans="1:6" ht="14.5">
      <c r="A6" s="4" t="str">
        <f>'Feature List'!B6</f>
        <v>Data Export (CSV/XLSX/JSON)</v>
      </c>
      <c r="B6" s="4">
        <f>AVERAGEIF('Feature Scoring'!B2:B131, 'Feature List'!B6, 'Feature Scoring'!F2:F131)</f>
        <v>6.3</v>
      </c>
      <c r="C6" s="4">
        <f>MAX('Feature Scoring'!G6:G135, 'Feature Scoring'!B6:B135, 'Feature List'!B6)</f>
        <v>10</v>
      </c>
      <c r="D6" s="4" t="str">
        <f t="shared" si="0"/>
        <v>Gap</v>
      </c>
      <c r="E6" s="4" t="str">
        <f>IF(D6="No Gap", "None", IF((C6-B6)*'Feature List'!C6&gt;=15, "Critical", IF((C6-B6)*'Feature List'!C6&gt;=7, "Moderate", "Low")))</f>
        <v>Critical</v>
      </c>
      <c r="F6" s="4" t="str">
        <f t="shared" si="1"/>
        <v>High</v>
      </c>
    </row>
    <row r="7" spans="1:6" ht="14.5">
      <c r="A7" s="4" t="str">
        <f>'Feature List'!B7</f>
        <v>Interactive Drill-Downs</v>
      </c>
      <c r="B7" s="4">
        <f>AVERAGEIF('Feature Scoring'!B2:B131, 'Feature List'!B7, 'Feature Scoring'!F2:F131)</f>
        <v>5.6</v>
      </c>
      <c r="C7" s="4">
        <f>MAX('Feature Scoring'!G7:G136, 'Feature Scoring'!B7:B136, 'Feature List'!B7)</f>
        <v>10</v>
      </c>
      <c r="D7" s="4" t="str">
        <f t="shared" si="0"/>
        <v>Gap</v>
      </c>
      <c r="E7" s="4" t="str">
        <f>IF(D7="No Gap", "None", IF((C7-B7)*'Feature List'!C7&gt;=15, "Critical", IF((C7-B7)*'Feature List'!C7&gt;=7, "Moderate", "Low")))</f>
        <v>Critical</v>
      </c>
      <c r="F7" s="4" t="str">
        <f t="shared" si="1"/>
        <v>High</v>
      </c>
    </row>
    <row r="8" spans="1:6" ht="14.5">
      <c r="A8" s="4" t="str">
        <f>'Feature List'!B8</f>
        <v>Predictive Anomaly Detection</v>
      </c>
      <c r="B8" s="4">
        <f>AVERAGEIF('Feature Scoring'!B2:B131, 'Feature List'!B8, 'Feature Scoring'!F2:F131)</f>
        <v>4.8</v>
      </c>
      <c r="C8" s="4">
        <f>MAX('Feature Scoring'!G8:G137, 'Feature Scoring'!B8:B137, 'Feature List'!B8)</f>
        <v>10</v>
      </c>
      <c r="D8" s="4" t="str">
        <f t="shared" si="0"/>
        <v>Gap</v>
      </c>
      <c r="E8" s="4" t="str">
        <f>IF(D8="No Gap", "None", IF((C8-B8)*'Feature List'!C8&gt;=15, "Critical", IF((C8-B8)*'Feature List'!C8&gt;=7, "Moderate", "Low")))</f>
        <v>Critical</v>
      </c>
      <c r="F8" s="4" t="str">
        <f t="shared" si="1"/>
        <v>High</v>
      </c>
    </row>
    <row r="9" spans="1:6" ht="14.5">
      <c r="A9" s="4" t="str">
        <f>'Feature List'!B9</f>
        <v>Automated Insight Generation</v>
      </c>
      <c r="B9" s="4">
        <f>AVERAGEIF('Feature Scoring'!B2:B131, 'Feature List'!B9, 'Feature Scoring'!F2:F131)</f>
        <v>9</v>
      </c>
      <c r="C9" s="4">
        <f>MAX('Feature Scoring'!G9:G138, 'Feature Scoring'!B9:B138, 'Feature List'!B9)</f>
        <v>10</v>
      </c>
      <c r="D9" s="4" t="str">
        <f t="shared" si="0"/>
        <v>Gap</v>
      </c>
      <c r="E9" s="4" t="str">
        <f>IF(D9="No Gap", "None", IF((C9-B9)*'Feature List'!C9&gt;=15, "Critical", IF((C9-B9)*'Feature List'!C9&gt;=7, "Moderate", "Low")))</f>
        <v>Moderate</v>
      </c>
      <c r="F9" s="4" t="str">
        <f t="shared" si="1"/>
        <v>Medium</v>
      </c>
    </row>
    <row r="10" spans="1:6" ht="14.5">
      <c r="A10" s="4" t="str">
        <f>'Feature List'!B10</f>
        <v>Natural Language Querying (NLQ)</v>
      </c>
      <c r="B10" s="4">
        <f>AVERAGEIF('Feature Scoring'!B2:B131, 'Feature List'!B10, 'Feature Scoring'!F2:F131)</f>
        <v>4.8</v>
      </c>
      <c r="C10" s="4">
        <f>MAX('Feature Scoring'!G10:G139, 'Feature Scoring'!B10:B139, 'Feature List'!B10)</f>
        <v>10</v>
      </c>
      <c r="D10" s="4" t="str">
        <f t="shared" si="0"/>
        <v>Gap</v>
      </c>
      <c r="E10" s="4" t="str">
        <f>IF(D10="No Gap", "None", IF((C10-B10)*'Feature List'!C10&gt;=15, "Critical", IF((C10-B10)*'Feature List'!C10&gt;=7, "Moderate", "Low")))</f>
        <v>Critical</v>
      </c>
      <c r="F10" s="4" t="str">
        <f t="shared" si="1"/>
        <v>High</v>
      </c>
    </row>
    <row r="11" spans="1:6" ht="14.5">
      <c r="A11" s="4" t="str">
        <f>'Feature List'!B11</f>
        <v>Forecasting &amp; Trend Projection</v>
      </c>
      <c r="B11" s="4">
        <f>AVERAGEIF('Feature Scoring'!B2:B131, 'Feature List'!B11, 'Feature Scoring'!F2:F131)</f>
        <v>10</v>
      </c>
      <c r="C11" s="4">
        <f>MAX('Feature Scoring'!G11:G140, 'Feature Scoring'!B11:B140, 'Feature List'!B11)</f>
        <v>10</v>
      </c>
      <c r="D11" s="4" t="str">
        <f t="shared" si="0"/>
        <v>No Gap</v>
      </c>
      <c r="E11" s="4" t="str">
        <f>IF(D11="No Gap", "None", IF((C11-B11)*'Feature List'!C11&gt;=15, "Critical", IF((C11-B11)*'Feature List'!C11&gt;=7, "Moderate", "Low")))</f>
        <v>None</v>
      </c>
      <c r="F11" s="4" t="str">
        <f t="shared" si="1"/>
        <v>Low</v>
      </c>
    </row>
    <row r="12" spans="1:6" ht="14.5">
      <c r="A12" s="4" t="str">
        <f>'Feature List'!B12</f>
        <v>Smart Alerting &amp; Triggers</v>
      </c>
      <c r="B12" s="4">
        <f>AVERAGEIF('Feature Scoring'!B2:B131, 'Feature List'!B12, 'Feature Scoring'!F2:F131)</f>
        <v>8.1</v>
      </c>
      <c r="C12" s="4">
        <f>MAX('Feature Scoring'!G12:G141, 'Feature Scoring'!B12:B141, 'Feature List'!B12)</f>
        <v>10</v>
      </c>
      <c r="D12" s="4" t="str">
        <f t="shared" si="0"/>
        <v>Gap</v>
      </c>
      <c r="E12" s="4" t="str">
        <f>IF(D12="No Gap", "None", IF((C12-B12)*'Feature List'!C12&gt;=15, "Critical", IF((C12-B12)*'Feature List'!C12&gt;=7, "Moderate", "Low")))</f>
        <v>Critical</v>
      </c>
      <c r="F12" s="4" t="str">
        <f t="shared" si="1"/>
        <v>High</v>
      </c>
    </row>
    <row r="13" spans="1:6" ht="14.5">
      <c r="A13" s="4" t="str">
        <f>'Feature List'!B13</f>
        <v>REST API &amp; Webhooks</v>
      </c>
      <c r="B13" s="4">
        <f>AVERAGEIF('Feature Scoring'!B2:B131, 'Feature List'!B13, 'Feature Scoring'!F2:F131)</f>
        <v>6</v>
      </c>
      <c r="C13" s="4">
        <f>MAX('Feature Scoring'!G13:G142, 'Feature Scoring'!B13:B142, 'Feature List'!B13)</f>
        <v>10</v>
      </c>
      <c r="D13" s="4" t="str">
        <f t="shared" si="0"/>
        <v>Gap</v>
      </c>
      <c r="E13" s="4" t="str">
        <f>IF(D13="No Gap", "None", IF((C13-B13)*'Feature List'!C13&gt;=15, "Critical", IF((C13-B13)*'Feature List'!C13&gt;=7, "Moderate", "Low")))</f>
        <v>Critical</v>
      </c>
      <c r="F13" s="4" t="str">
        <f t="shared" si="1"/>
        <v>High</v>
      </c>
    </row>
    <row r="14" spans="1:6" ht="14.5">
      <c r="A14" s="4" t="str">
        <f>'Feature List'!B14</f>
        <v>Pre-built Salesforce Connector</v>
      </c>
      <c r="B14" s="4">
        <f>AVERAGEIF('Feature Scoring'!B2:B131, 'Feature List'!B14, 'Feature Scoring'!F2:F131)</f>
        <v>5.4</v>
      </c>
      <c r="C14" s="4">
        <f>MAX('Feature Scoring'!G14:G143, 'Feature Scoring'!B14:B143, 'Feature List'!B14)</f>
        <v>10</v>
      </c>
      <c r="D14" s="4" t="str">
        <f t="shared" si="0"/>
        <v>Gap</v>
      </c>
      <c r="E14" s="4" t="str">
        <f>IF(D14="No Gap", "None", IF((C14-B14)*'Feature List'!C14&gt;=15, "Critical", IF((C14-B14)*'Feature List'!C14&gt;=7, "Moderate", "Low")))</f>
        <v>Critical</v>
      </c>
      <c r="F14" s="4" t="str">
        <f t="shared" si="1"/>
        <v>High</v>
      </c>
    </row>
    <row r="15" spans="1:6" ht="14.5">
      <c r="A15" s="4" t="str">
        <f>'Feature List'!B15</f>
        <v>Snowflake &amp; BigQuery Sync</v>
      </c>
      <c r="B15" s="4">
        <f>AVERAGEIF('Feature Scoring'!B2:B131, 'Feature List'!B15, 'Feature Scoring'!F2:F131)</f>
        <v>4.8</v>
      </c>
      <c r="C15" s="4">
        <f>MAX('Feature Scoring'!G15:G144, 'Feature Scoring'!B15:B144, 'Feature List'!B15)</f>
        <v>10</v>
      </c>
      <c r="D15" s="4" t="str">
        <f t="shared" si="0"/>
        <v>Gap</v>
      </c>
      <c r="E15" s="4" t="str">
        <f>IF(D15="No Gap", "None", IF((C15-B15)*'Feature List'!C15&gt;=15, "Critical", IF((C15-B15)*'Feature List'!C15&gt;=7, "Moderate", "Low")))</f>
        <v>Critical</v>
      </c>
      <c r="F15" s="4" t="str">
        <f t="shared" si="1"/>
        <v>High</v>
      </c>
    </row>
    <row r="16" spans="1:6" ht="14.5">
      <c r="A16" s="4" t="str">
        <f>'Feature List'!B16</f>
        <v>Zapier &amp; Make Integration</v>
      </c>
      <c r="B16" s="4">
        <f>AVERAGEIF('Feature Scoring'!B2:B131, 'Feature List'!B16, 'Feature Scoring'!F2:F131)</f>
        <v>6.3</v>
      </c>
      <c r="C16" s="4">
        <f>MAX('Feature Scoring'!G16:G145, 'Feature Scoring'!B16:B145, 'Feature List'!B16)</f>
        <v>10</v>
      </c>
      <c r="D16" s="4" t="str">
        <f t="shared" si="0"/>
        <v>Gap</v>
      </c>
      <c r="E16" s="4" t="str">
        <f>IF(D16="No Gap", "None", IF((C16-B16)*'Feature List'!C16&gt;=15, "Critical", IF((C16-B16)*'Feature List'!C16&gt;=7, "Moderate", "Low")))</f>
        <v>Critical</v>
      </c>
      <c r="F16" s="4" t="str">
        <f t="shared" si="1"/>
        <v>High</v>
      </c>
    </row>
    <row r="17" spans="1:6" ht="14.5">
      <c r="A17" s="4" t="str">
        <f>'Feature List'!B17</f>
        <v>Custom ETL Scripting Support</v>
      </c>
      <c r="B17" s="4">
        <f>AVERAGEIF('Feature Scoring'!B2:B131, 'Feature List'!B17, 'Feature Scoring'!F2:F131)</f>
        <v>5.6</v>
      </c>
      <c r="C17" s="4">
        <f>MAX('Feature Scoring'!G17:G146, 'Feature Scoring'!B17:B146, 'Feature List'!B17)</f>
        <v>10</v>
      </c>
      <c r="D17" s="4" t="str">
        <f t="shared" si="0"/>
        <v>Gap</v>
      </c>
      <c r="E17" s="4" t="str">
        <f>IF(D17="No Gap", "None", IF((C17-B17)*'Feature List'!C17&gt;=15, "Critical", IF((C17-B17)*'Feature List'!C17&gt;=7, "Moderate", "Low")))</f>
        <v>Critical</v>
      </c>
      <c r="F17" s="4" t="str">
        <f t="shared" si="1"/>
        <v>High</v>
      </c>
    </row>
    <row r="18" spans="1:6" ht="14.5">
      <c r="A18" s="4" t="str">
        <f>'Feature List'!B18</f>
        <v>Role-Based Access Control (RBAC)</v>
      </c>
      <c r="B18" s="4">
        <f>AVERAGEIF('Feature Scoring'!B2:B131, 'Feature List'!B18, 'Feature Scoring'!F2:F131)</f>
        <v>10</v>
      </c>
      <c r="C18" s="4">
        <f>MAX('Feature Scoring'!G18:G147, 'Feature Scoring'!B18:B147, 'Feature List'!B18)</f>
        <v>10</v>
      </c>
      <c r="D18" s="4" t="str">
        <f t="shared" si="0"/>
        <v>No Gap</v>
      </c>
      <c r="E18" s="4" t="str">
        <f>IF(D18="No Gap", "None", IF((C18-B18)*'Feature List'!C18&gt;=15, "Critical", IF((C18-B18)*'Feature List'!C18&gt;=7, "Moderate", "Low")))</f>
        <v>None</v>
      </c>
      <c r="F18" s="4" t="str">
        <f t="shared" si="1"/>
        <v>Low</v>
      </c>
    </row>
    <row r="19" spans="1:6" ht="14.5">
      <c r="A19" s="4" t="str">
        <f>'Feature List'!B19</f>
        <v>SOC2 Type II Compliance</v>
      </c>
      <c r="B19" s="4">
        <f>AVERAGEIF('Feature Scoring'!B2:B131, 'Feature List'!B19, 'Feature Scoring'!F2:F131)</f>
        <v>8</v>
      </c>
      <c r="C19" s="4">
        <f>MAX('Feature Scoring'!G19:G148, 'Feature Scoring'!B19:B148, 'Feature List'!B19)</f>
        <v>10</v>
      </c>
      <c r="D19" s="4" t="str">
        <f t="shared" si="0"/>
        <v>Gap</v>
      </c>
      <c r="E19" s="4" t="str">
        <f>IF(D19="No Gap", "None", IF((C19-B19)*'Feature List'!C19&gt;=15, "Critical", IF((C19-B19)*'Feature List'!C19&gt;=7, "Moderate", "Low")))</f>
        <v>Critical</v>
      </c>
      <c r="F19" s="4" t="str">
        <f t="shared" si="1"/>
        <v>High</v>
      </c>
    </row>
    <row r="20" spans="1:6" ht="14.5">
      <c r="A20" s="4" t="str">
        <f>'Feature List'!B20</f>
        <v>Single Sign-On (SSO / SAML)</v>
      </c>
      <c r="B20" s="4">
        <f>AVERAGEIF('Feature Scoring'!B2:B131, 'Feature List'!B20, 'Feature Scoring'!F2:F131)</f>
        <v>4.8</v>
      </c>
      <c r="C20" s="4">
        <f>MAX('Feature Scoring'!G20:G149, 'Feature Scoring'!B20:B149, 'Feature List'!B20)</f>
        <v>10</v>
      </c>
      <c r="D20" s="4" t="str">
        <f t="shared" si="0"/>
        <v>Gap</v>
      </c>
      <c r="E20" s="4" t="str">
        <f>IF(D20="No Gap", "None", IF((C20-B20)*'Feature List'!C20&gt;=15, "Critical", IF((C20-B20)*'Feature List'!C20&gt;=7, "Moderate", "Low")))</f>
        <v>Critical</v>
      </c>
      <c r="F20" s="4" t="str">
        <f t="shared" si="1"/>
        <v>High</v>
      </c>
    </row>
    <row r="21" spans="1:6" ht="15.75" customHeight="1">
      <c r="A21" s="4" t="str">
        <f>'Feature List'!B21</f>
        <v>Data Masking &amp; Encryption at Rest</v>
      </c>
      <c r="B21" s="4">
        <f>AVERAGEIF('Feature Scoring'!B2:B131, 'Feature List'!B21, 'Feature Scoring'!F2:F131)</f>
        <v>9</v>
      </c>
      <c r="C21" s="4">
        <f>MAX('Feature Scoring'!G21:G150, 'Feature Scoring'!B21:B150, 'Feature List'!B21)</f>
        <v>10</v>
      </c>
      <c r="D21" s="4" t="str">
        <f t="shared" si="0"/>
        <v>Gap</v>
      </c>
      <c r="E21" s="4" t="str">
        <f>IF(D21="No Gap", "None", IF((C21-B21)*'Feature List'!C21&gt;=15, "Critical", IF((C21-B21)*'Feature List'!C21&gt;=7, "Moderate", "Low")))</f>
        <v>Moderate</v>
      </c>
      <c r="F21" s="4" t="str">
        <f t="shared" si="1"/>
        <v>Medium</v>
      </c>
    </row>
    <row r="22" spans="1:6" ht="15.75" customHeight="1">
      <c r="A22" s="4" t="str">
        <f>'Feature List'!B22</f>
        <v>Audit Logging &amp; Activity Trails</v>
      </c>
      <c r="B22" s="4">
        <f>AVERAGEIF('Feature Scoring'!B2:B131, 'Feature List'!B22, 'Feature Scoring'!F2:F131)</f>
        <v>4.2</v>
      </c>
      <c r="C22" s="4">
        <f>MAX('Feature Scoring'!G22:G151, 'Feature Scoring'!B22:B151, 'Feature List'!B22)</f>
        <v>10</v>
      </c>
      <c r="D22" s="4" t="str">
        <f t="shared" si="0"/>
        <v>Gap</v>
      </c>
      <c r="E22" s="4" t="str">
        <f>IF(D22="No Gap", "None", IF((C22-B22)*'Feature List'!C22&gt;=15, "Critical", IF((C22-B22)*'Feature List'!C22&gt;=7, "Moderate", "Low")))</f>
        <v>Critical</v>
      </c>
      <c r="F22" s="4" t="str">
        <f t="shared" si="1"/>
        <v>High</v>
      </c>
    </row>
    <row r="23" spans="1:6" ht="15.75" customHeight="1">
      <c r="A23" s="4" t="str">
        <f>'Feature List'!B23</f>
        <v>Native iOS &amp; Android App</v>
      </c>
      <c r="B23" s="4">
        <f>AVERAGEIF('Feature Scoring'!B2:B131, 'Feature List'!B23, 'Feature Scoring'!F2:F131)</f>
        <v>9</v>
      </c>
      <c r="C23" s="4">
        <f>MAX('Feature Scoring'!G23:G152, 'Feature Scoring'!B23:B152, 'Feature List'!B23)</f>
        <v>10</v>
      </c>
      <c r="D23" s="4" t="str">
        <f t="shared" si="0"/>
        <v>Gap</v>
      </c>
      <c r="E23" s="4" t="str">
        <f>IF(D23="No Gap", "None", IF((C23-B23)*'Feature List'!C23&gt;=15, "Critical", IF((C23-B23)*'Feature List'!C23&gt;=7, "Moderate", "Low")))</f>
        <v>Moderate</v>
      </c>
      <c r="F23" s="4" t="str">
        <f t="shared" si="1"/>
        <v>Medium</v>
      </c>
    </row>
    <row r="24" spans="1:6" ht="15.75" customHeight="1">
      <c r="A24" s="4" t="str">
        <f>'Feature List'!B24</f>
        <v>Dark Mode / Custom Themes</v>
      </c>
      <c r="B24" s="4">
        <f>AVERAGEIF('Feature Scoring'!B2:B131, 'Feature List'!B24, 'Feature Scoring'!F2:F131)</f>
        <v>6.3</v>
      </c>
      <c r="C24" s="4">
        <f>MAX('Feature Scoring'!G24:G153, 'Feature Scoring'!B24:B153, 'Feature List'!B24)</f>
        <v>10</v>
      </c>
      <c r="D24" s="4" t="str">
        <f t="shared" si="0"/>
        <v>Gap</v>
      </c>
      <c r="E24" s="4" t="str">
        <f>IF(D24="No Gap", "None", IF((C24-B24)*'Feature List'!C24&gt;=15, "Critical", IF((C24-B24)*'Feature List'!C24&gt;=7, "Moderate", "Low")))</f>
        <v>Critical</v>
      </c>
      <c r="F24" s="4" t="str">
        <f t="shared" si="1"/>
        <v>High</v>
      </c>
    </row>
    <row r="25" spans="1:6" ht="15.75" customHeight="1">
      <c r="A25" s="4" t="str">
        <f>'Feature List'!B25</f>
        <v>Collaborative Comments &amp; Tagging</v>
      </c>
      <c r="B25" s="4">
        <f>AVERAGEIF('Feature Scoring'!B2:B131, 'Feature List'!B25, 'Feature Scoring'!F2:F131)</f>
        <v>5.6</v>
      </c>
      <c r="C25" s="4">
        <f>MAX('Feature Scoring'!G25:G154, 'Feature Scoring'!B25:B154, 'Feature List'!B25)</f>
        <v>10</v>
      </c>
      <c r="D25" s="4" t="str">
        <f t="shared" si="0"/>
        <v>Gap</v>
      </c>
      <c r="E25" s="4" t="str">
        <f>IF(D25="No Gap", "None", IF((C25-B25)*'Feature List'!C25&gt;=15, "Critical", IF((C25-B25)*'Feature List'!C25&gt;=7, "Moderate", "Low")))</f>
        <v>Critical</v>
      </c>
      <c r="F25" s="4" t="str">
        <f t="shared" si="1"/>
        <v>High</v>
      </c>
    </row>
    <row r="26" spans="1:6" ht="15.75" customHeight="1">
      <c r="A26" s="4" t="str">
        <f>'Feature List'!B26</f>
        <v>Multi-Language Localization</v>
      </c>
      <c r="B26" s="4">
        <f>AVERAGEIF('Feature Scoring'!B2:B131, 'Feature List'!B26, 'Feature Scoring'!F2:F131)</f>
        <v>8.1</v>
      </c>
      <c r="C26" s="4">
        <f>MAX('Feature Scoring'!G26:G155, 'Feature Scoring'!B26:B155, 'Feature List'!B26)</f>
        <v>10</v>
      </c>
      <c r="D26" s="4" t="str">
        <f t="shared" si="0"/>
        <v>Gap</v>
      </c>
      <c r="E26" s="4" t="str">
        <f>IF(D26="No Gap", "None", IF((C26-B26)*'Feature List'!C26&gt;=15, "Critical", IF((C26-B26)*'Feature List'!C26&gt;=7, "Moderate", "Low")))</f>
        <v>Critical</v>
      </c>
      <c r="F26" s="4" t="str">
        <f t="shared" si="1"/>
        <v>High</v>
      </c>
    </row>
    <row r="27" spans="1:6" ht="15.75" customHeight="1">
      <c r="A27" s="4" t="str">
        <f>'Feature List'!B27</f>
        <v>Custom White-Labeling</v>
      </c>
      <c r="B27" s="4">
        <f>AVERAGEIF('Feature Scoring'!B2:B131, 'Feature List'!B27, 'Feature Scoring'!F2:F131)</f>
        <v>9</v>
      </c>
      <c r="C27" s="4">
        <f>MAX('Feature Scoring'!G27:G156, 'Feature Scoring'!B27:B156, 'Feature List'!B27)</f>
        <v>10</v>
      </c>
      <c r="D27" s="4" t="str">
        <f t="shared" si="0"/>
        <v>Gap</v>
      </c>
      <c r="E27" s="4" t="str">
        <f>IF(D27="No Gap", "None", IF((C27-B27)*'Feature List'!C27&gt;=15, "Critical", IF((C27-B27)*'Feature List'!C27&gt;=7, "Moderate", "Low")))</f>
        <v>Moderate</v>
      </c>
      <c r="F27" s="4" t="str">
        <f t="shared" si="1"/>
        <v>Medium</v>
      </c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selection activeCell="C15" sqref="C15"/>
    </sheetView>
  </sheetViews>
  <sheetFormatPr defaultColWidth="12.6328125" defaultRowHeight="15" customHeight="1"/>
  <cols>
    <col min="1" max="1" width="19.26953125" style="3" customWidth="1"/>
    <col min="2" max="2" width="17.36328125" style="3" customWidth="1"/>
    <col min="3" max="3" width="28.7265625" style="3" customWidth="1"/>
    <col min="4" max="4" width="23.81640625" style="3" customWidth="1"/>
    <col min="5" max="5" width="25.81640625" style="3" customWidth="1"/>
    <col min="6" max="6" width="31.1796875" style="3" customWidth="1"/>
    <col min="7" max="7" width="30.54296875" style="3" customWidth="1"/>
    <col min="8" max="8" width="28.7265625" style="3" customWidth="1"/>
    <col min="9" max="9" width="31.26953125" style="3" customWidth="1"/>
    <col min="10" max="10" width="19.54296875" style="3" customWidth="1"/>
    <col min="11" max="11" width="24.36328125" style="3" customWidth="1"/>
    <col min="12" max="12" width="32.81640625" style="3" customWidth="1"/>
    <col min="13" max="13" width="25.26953125" style="3" customWidth="1"/>
    <col min="14" max="14" width="21.54296875" style="3" customWidth="1"/>
    <col min="15" max="16384" width="12.6328125" style="3"/>
  </cols>
  <sheetData>
    <row r="1" spans="1:14" s="9" customFormat="1" ht="14.5">
      <c r="A1" s="8" t="s">
        <v>2</v>
      </c>
      <c r="B1" s="8" t="s">
        <v>268</v>
      </c>
      <c r="C1" s="8" t="s">
        <v>252</v>
      </c>
      <c r="D1" s="8" t="s">
        <v>259</v>
      </c>
      <c r="E1" s="8" t="s">
        <v>269</v>
      </c>
      <c r="F1" s="8" t="s">
        <v>270</v>
      </c>
      <c r="G1" s="8" t="s">
        <v>271</v>
      </c>
      <c r="H1" s="8" t="s">
        <v>272</v>
      </c>
      <c r="I1" s="8" t="s">
        <v>273</v>
      </c>
      <c r="J1" s="8" t="s">
        <v>274</v>
      </c>
      <c r="K1" s="8" t="s">
        <v>262</v>
      </c>
      <c r="L1" s="8" t="s">
        <v>264</v>
      </c>
      <c r="M1" s="8" t="s">
        <v>275</v>
      </c>
      <c r="N1" s="8" t="s">
        <v>276</v>
      </c>
    </row>
    <row r="2" spans="1:14" ht="14.5">
      <c r="A2" s="4" t="str">
        <f>'Competitor List'!A2</f>
        <v>DataGlow AI</v>
      </c>
      <c r="B2" s="4">
        <f>AVERAGEIF('Benchmarking Data'!C2:C131, 'Competitor List'!A2, 'Feature Scoring'!G2:G131)</f>
        <v>5.2115384615384617</v>
      </c>
      <c r="C2" s="4">
        <f>COUNTIFS('Benchmarking Data'!C2:C131, 'Competitor List'!A2, 'Benchmarking Data'!H2:H131, "Available")/COUNTIF('Benchmarking Data'!C2:C131, 'Competitor List'!A2)</f>
        <v>0.57692307692307687</v>
      </c>
      <c r="D2" s="4">
        <f>AVERAGEIF('Benchmarking Data'!C2:C131, 'Competitor List'!A2, 'Benchmarking Data'!L2:L131)</f>
        <v>4.5</v>
      </c>
      <c r="E2" s="4">
        <f>AVERAGEIF('Benchmarking Data'!C2:C131, 'Competitor List'!A2, 'Benchmarking Data'!P2:P131)</f>
        <v>7.9230769230769234</v>
      </c>
      <c r="F2" s="4">
        <f>AVERAGEIF('Benchmarking Data'!C2:C131, 'Competitor List'!A2, 'Benchmarking Data'!Q2:Q131)</f>
        <v>8.384615384615385</v>
      </c>
      <c r="G2" s="4">
        <f>AVERAGEIF('Benchmarking Data'!C2:C131, 'Competitor List'!A2, 'Benchmarking Data'!R2:R131)</f>
        <v>7.8461538461538458</v>
      </c>
      <c r="H2" s="4">
        <f>AVERAGEIF('Benchmarking Data'!C2:C131, 'Competitor List'!A2, 'Benchmarking Data'!S2:S131)</f>
        <v>8.384615384615385</v>
      </c>
      <c r="I2" s="4">
        <f>AVERAGEIF('Benchmarking Data'!C2:C131, 'Competitor List'!A2, 'Benchmarking Data'!U2:U131)</f>
        <v>6.3076923076923075</v>
      </c>
      <c r="J2" s="4">
        <f>AVERAGEIF('Benchmarking Data'!C2:C131, 'Competitor List'!A2, 'Benchmarking Data'!V2:V131)</f>
        <v>7.4615384615384617</v>
      </c>
      <c r="K2" s="4">
        <f>AVERAGEIF('Benchmarking Data'!C2:C131, 'Competitor List'!A2, 'Benchmarking Data'!Z2:Z131)</f>
        <v>4.2346153846153847</v>
      </c>
      <c r="L2" s="4">
        <f>AVERAGEIF('Benchmarking Data'!C2:C131, 'Competitor List'!A2, 'Benchmarking Data'!Y2:Y131)</f>
        <v>2.4884615384615385</v>
      </c>
      <c r="M2" s="4">
        <f>AVERAGEIF('Benchmarking Data'!C2:C131, 'Competitor List'!A2, 'Benchmarking Data'!W2:W131)</f>
        <v>22.5</v>
      </c>
      <c r="N2" s="4">
        <f>AVERAGEIF('Benchmarking Data'!C2:C131, 'Competitor List'!A2, 'Benchmarking Data'!N2:N131)</f>
        <v>45</v>
      </c>
    </row>
    <row r="3" spans="1:14" ht="14.5">
      <c r="A3" s="4" t="str">
        <f>'Competitor List'!A3</f>
        <v>MetricFlow</v>
      </c>
      <c r="B3" s="4">
        <f>AVERAGEIF('Benchmarking Data'!C2:C131, 'Competitor List'!A3, 'Feature Scoring'!G2:G131)</f>
        <v>2.8653846153846154</v>
      </c>
      <c r="C3" s="4">
        <f>COUNTIFS('Benchmarking Data'!C2:C131, 'Competitor List'!A3, 'Benchmarking Data'!H2:H131, "Available")/COUNTIF('Benchmarking Data'!C2:C131, 'Competitor List'!A3)</f>
        <v>0.15384615384615385</v>
      </c>
      <c r="D3" s="4">
        <f>AVERAGEIF('Benchmarking Data'!C2:C131, 'Competitor List'!A3, 'Benchmarking Data'!L2:L131)</f>
        <v>4.200000000000002</v>
      </c>
      <c r="E3" s="4">
        <f>AVERAGEIF('Benchmarking Data'!C2:C131, 'Competitor List'!A3, 'Benchmarking Data'!P2:P131)</f>
        <v>8.0769230769230766</v>
      </c>
      <c r="F3" s="4">
        <f>AVERAGEIF('Benchmarking Data'!C2:C131, 'Competitor List'!A3, 'Benchmarking Data'!Q2:Q131)</f>
        <v>8.9615384615384617</v>
      </c>
      <c r="G3" s="4">
        <f>AVERAGEIF('Benchmarking Data'!C2:C131, 'Competitor List'!A3, 'Benchmarking Data'!R2:R131)</f>
        <v>8.0769230769230766</v>
      </c>
      <c r="H3" s="4">
        <f>AVERAGEIF('Benchmarking Data'!C2:C131, 'Competitor List'!A3, 'Benchmarking Data'!S2:S131)</f>
        <v>8.3076923076923084</v>
      </c>
      <c r="I3" s="4">
        <f>AVERAGEIF('Benchmarking Data'!C2:C131, 'Competitor List'!A3, 'Benchmarking Data'!U2:U131)</f>
        <v>6.0769230769230766</v>
      </c>
      <c r="J3" s="4">
        <f>AVERAGEIF('Benchmarking Data'!C2:C131, 'Competitor List'!A3, 'Benchmarking Data'!V2:V131)</f>
        <v>7.8076923076923075</v>
      </c>
      <c r="K3" s="4">
        <f>AVERAGEIF('Benchmarking Data'!C2:C131, 'Competitor List'!A3, 'Benchmarking Data'!Z2:Z131)</f>
        <v>4.8576923076923091</v>
      </c>
      <c r="L3" s="4">
        <f>AVERAGEIF('Benchmarking Data'!C2:C131, 'Competitor List'!A3, 'Benchmarking Data'!Y2:Y131)</f>
        <v>4.884615384615385</v>
      </c>
      <c r="M3" s="4">
        <f>AVERAGEIF('Benchmarking Data'!C2:C131, 'Competitor List'!A3, 'Benchmarking Data'!W2:W131)</f>
        <v>18</v>
      </c>
      <c r="N3" s="4">
        <f>AVERAGEIF('Benchmarking Data'!C2:C131, 'Competitor List'!A3, 'Benchmarking Data'!N2:N131)</f>
        <v>120</v>
      </c>
    </row>
    <row r="4" spans="1:14" ht="14.5">
      <c r="A4" s="4" t="str">
        <f>'Competitor List'!A4</f>
        <v>InsightHub</v>
      </c>
      <c r="B4" s="4">
        <f>AVERAGEIF('Benchmarking Data'!C2:C131, 'Competitor List'!A4, 'Feature Scoring'!G2:G131)</f>
        <v>3.3653846153846154</v>
      </c>
      <c r="C4" s="4">
        <f>COUNTIFS('Benchmarking Data'!C2:C131, 'Competitor List'!A4, 'Benchmarking Data'!H2:H131, "Available")/COUNTIF('Benchmarking Data'!C2:C131, 'Competitor List'!A4)</f>
        <v>0.19230769230769232</v>
      </c>
      <c r="D4" s="4">
        <f>AVERAGEIF('Benchmarking Data'!C2:C131, 'Competitor List'!A4, 'Benchmarking Data'!L2:L131)</f>
        <v>4</v>
      </c>
      <c r="E4" s="4">
        <f>AVERAGEIF('Benchmarking Data'!C2:C131, 'Competitor List'!A4, 'Benchmarking Data'!P2:P131)</f>
        <v>7.7692307692307692</v>
      </c>
      <c r="F4" s="4">
        <f>AVERAGEIF('Benchmarking Data'!C2:C131, 'Competitor List'!A4, 'Benchmarking Data'!Q2:Q131)</f>
        <v>8.615384615384615</v>
      </c>
      <c r="G4" s="4">
        <f>AVERAGEIF('Benchmarking Data'!C2:C131, 'Competitor List'!A4, 'Benchmarking Data'!R2:R131)</f>
        <v>7.5769230769230766</v>
      </c>
      <c r="H4" s="4">
        <f>AVERAGEIF('Benchmarking Data'!C2:C131, 'Competitor List'!A4, 'Benchmarking Data'!S2:S131)</f>
        <v>8</v>
      </c>
      <c r="I4" s="4">
        <f>AVERAGEIF('Benchmarking Data'!C2:C131, 'Competitor List'!A4, 'Benchmarking Data'!U2:U131)</f>
        <v>6.884615384615385</v>
      </c>
      <c r="J4" s="4">
        <f>AVERAGEIF('Benchmarking Data'!C2:C131, 'Competitor List'!A4, 'Benchmarking Data'!V2:V131)</f>
        <v>8.115384615384615</v>
      </c>
      <c r="K4" s="4">
        <f>AVERAGEIF('Benchmarking Data'!C2:C131, 'Competitor List'!A4, 'Benchmarking Data'!Z2:Z131)</f>
        <v>5.023076923076923</v>
      </c>
      <c r="L4" s="4">
        <f>AVERAGEIF('Benchmarking Data'!C2:C131, 'Competitor List'!A4, 'Benchmarking Data'!Y2:Y131)</f>
        <v>3.9807692307692304</v>
      </c>
      <c r="M4" s="4">
        <f>AVERAGEIF('Benchmarking Data'!C2:C131, 'Competitor List'!A4, 'Benchmarking Data'!W2:W131)</f>
        <v>15.5</v>
      </c>
      <c r="N4" s="4">
        <f>AVERAGEIF('Benchmarking Data'!C2:C131, 'Competitor List'!A4, 'Benchmarking Data'!N2:N131)</f>
        <v>85</v>
      </c>
    </row>
    <row r="5" spans="1:14" ht="14.5">
      <c r="A5" s="4" t="str">
        <f>'Competitor List'!A5</f>
        <v>ApexAnalytics</v>
      </c>
      <c r="B5" s="4">
        <f>AVERAGEIF('Benchmarking Data'!C2:C131, 'Competitor List'!A5, 'Feature Scoring'!G2:G131)</f>
        <v>3.4807692307692308</v>
      </c>
      <c r="C5" s="4">
        <f>COUNTIFS('Benchmarking Data'!C2:C131, 'Competitor List'!A5, 'Benchmarking Data'!H2:H131, "Available")/COUNTIF('Benchmarking Data'!C2:C131, 'Competitor List'!A5)</f>
        <v>0.26923076923076922</v>
      </c>
      <c r="D5" s="4">
        <f>AVERAGEIF('Benchmarking Data'!C2:C131, 'Competitor List'!A5, 'Benchmarking Data'!L2:L131)</f>
        <v>4.5999999999999979</v>
      </c>
      <c r="E5" s="4">
        <f>AVERAGEIF('Benchmarking Data'!C2:C131, 'Competitor List'!A5, 'Benchmarking Data'!P2:P131)</f>
        <v>8.2692307692307701</v>
      </c>
      <c r="F5" s="4">
        <f>AVERAGEIF('Benchmarking Data'!C2:C131, 'Competitor List'!A5, 'Benchmarking Data'!Q2:Q131)</f>
        <v>8.6538461538461533</v>
      </c>
      <c r="G5" s="4">
        <f>AVERAGEIF('Benchmarking Data'!C2:C131, 'Competitor List'!A5, 'Benchmarking Data'!R2:R131)</f>
        <v>7.7307692307692308</v>
      </c>
      <c r="H5" s="4">
        <f>AVERAGEIF('Benchmarking Data'!C2:C131, 'Competitor List'!A5, 'Benchmarking Data'!S2:S131)</f>
        <v>8.5384615384615383</v>
      </c>
      <c r="I5" s="4">
        <f>AVERAGEIF('Benchmarking Data'!C2:C131, 'Competitor List'!A5, 'Benchmarking Data'!U2:U131)</f>
        <v>6.2692307692307692</v>
      </c>
      <c r="J5" s="4">
        <f>AVERAGEIF('Benchmarking Data'!C2:C131, 'Competitor List'!A5, 'Benchmarking Data'!V2:V131)</f>
        <v>7.8076923076923075</v>
      </c>
      <c r="K5" s="4">
        <f>AVERAGEIF('Benchmarking Data'!C2:C131, 'Competitor List'!A5, 'Benchmarking Data'!Z2:Z131)</f>
        <v>4.8461538461538467</v>
      </c>
      <c r="L5" s="4">
        <f>AVERAGEIF('Benchmarking Data'!C2:C131, 'Competitor List'!A5, 'Benchmarking Data'!Y2:Y131)</f>
        <v>3.4653846153846151</v>
      </c>
      <c r="M5" s="4">
        <f>AVERAGEIF('Benchmarking Data'!C2:C131, 'Competitor List'!A5, 'Benchmarking Data'!W2:W131)</f>
        <v>12</v>
      </c>
      <c r="N5" s="4">
        <f>AVERAGEIF('Benchmarking Data'!C2:C131, 'Competitor List'!A5, 'Benchmarking Data'!N2:N131)</f>
        <v>60</v>
      </c>
    </row>
    <row r="6" spans="1:14" ht="14.5">
      <c r="A6" s="4" t="str">
        <f>'Competitor List'!A6</f>
        <v>VeloData</v>
      </c>
      <c r="B6" s="4">
        <f>AVERAGEIF('Benchmarking Data'!C2:C131, 'Competitor List'!A6, 'Feature Scoring'!G2:G131)</f>
        <v>3.6923076923076925</v>
      </c>
      <c r="C6" s="4">
        <f>COUNTIFS('Benchmarking Data'!C2:C131, 'Competitor List'!A6, 'Benchmarking Data'!H2:H131, "Available")/COUNTIF('Benchmarking Data'!C2:C131, 'Competitor List'!A6)</f>
        <v>0.30769230769230771</v>
      </c>
      <c r="D6" s="4">
        <f>AVERAGEIF('Benchmarking Data'!C2:C131, 'Competitor List'!A6, 'Benchmarking Data'!L2:L131)</f>
        <v>3.799999999999998</v>
      </c>
      <c r="E6" s="4">
        <f>AVERAGEIF('Benchmarking Data'!C2:C131, 'Competitor List'!A6, 'Benchmarking Data'!P2:P131)</f>
        <v>7.9230769230769234</v>
      </c>
      <c r="F6" s="4">
        <f>AVERAGEIF('Benchmarking Data'!C2:C131, 'Competitor List'!A6, 'Benchmarking Data'!Q2:Q131)</f>
        <v>8.6538461538461533</v>
      </c>
      <c r="G6" s="4">
        <f>AVERAGEIF('Benchmarking Data'!C2:C131, 'Competitor List'!A6, 'Benchmarking Data'!R2:R131)</f>
        <v>8.1923076923076916</v>
      </c>
      <c r="H6" s="4">
        <f>AVERAGEIF('Benchmarking Data'!C2:C131, 'Competitor List'!A6, 'Benchmarking Data'!S2:S131)</f>
        <v>8.5384615384615383</v>
      </c>
      <c r="I6" s="4">
        <f>AVERAGEIF('Benchmarking Data'!C2:C131, 'Competitor List'!A6, 'Benchmarking Data'!U2:U131)</f>
        <v>6.6923076923076925</v>
      </c>
      <c r="J6" s="4">
        <f>AVERAGEIF('Benchmarking Data'!C2:C131, 'Competitor List'!A6, 'Benchmarking Data'!V2:V131)</f>
        <v>7.6538461538461542</v>
      </c>
      <c r="K6" s="4">
        <f>AVERAGEIF('Benchmarking Data'!C2:C131, 'Competitor List'!A6, 'Benchmarking Data'!Z2:Z131)</f>
        <v>4.703846153846154</v>
      </c>
      <c r="L6" s="4">
        <f>AVERAGEIF('Benchmarking Data'!C2:C131, 'Competitor List'!A6, 'Benchmarking Data'!Y2:Y131)</f>
        <v>4.2884615384615383</v>
      </c>
      <c r="M6" s="4">
        <f>AVERAGEIF('Benchmarking Data'!C2:C131, 'Competitor List'!A6, 'Benchmarking Data'!W2:W131)</f>
        <v>8.5</v>
      </c>
      <c r="N6" s="4">
        <f>AVERAGEIF('Benchmarking Data'!C2:C131, 'Competitor List'!A6, 'Benchmarking Data'!N2:N131)</f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>
      <selection activeCell="C8" sqref="C8"/>
    </sheetView>
  </sheetViews>
  <sheetFormatPr defaultColWidth="12.6328125" defaultRowHeight="15" customHeight="1"/>
  <cols>
    <col min="1" max="1" width="30.36328125" style="3" customWidth="1"/>
    <col min="2" max="2" width="13.6328125" style="3" customWidth="1"/>
    <col min="3" max="3" width="12.54296875" style="3" customWidth="1"/>
    <col min="4" max="4" width="20.81640625" style="3" customWidth="1"/>
    <col min="5" max="5" width="18.453125" style="3" customWidth="1"/>
    <col min="6" max="6" width="27.6328125" style="3" customWidth="1"/>
    <col min="7" max="7" width="16" style="3" customWidth="1"/>
    <col min="8" max="8" width="14.6328125" style="3" customWidth="1"/>
    <col min="9" max="9" width="16.08984375" style="3" customWidth="1"/>
    <col min="10" max="10" width="20.1796875" style="3" customWidth="1"/>
    <col min="11" max="11" width="17.36328125" style="3" customWidth="1"/>
    <col min="12" max="12" width="23.81640625" style="3" customWidth="1"/>
    <col min="13" max="16384" width="12.6328125" style="3"/>
  </cols>
  <sheetData>
    <row r="1" spans="1:12" ht="14.5">
      <c r="A1" s="8" t="s">
        <v>5</v>
      </c>
      <c r="B1" s="8" t="s">
        <v>277</v>
      </c>
      <c r="C1" s="8" t="s">
        <v>30</v>
      </c>
      <c r="D1" s="8" t="s">
        <v>102</v>
      </c>
      <c r="E1" s="8" t="s">
        <v>131</v>
      </c>
      <c r="F1" s="8" t="s">
        <v>159</v>
      </c>
      <c r="G1" s="8" t="s">
        <v>186</v>
      </c>
      <c r="H1" s="8" t="s">
        <v>278</v>
      </c>
      <c r="I1" s="8" t="s">
        <v>279</v>
      </c>
      <c r="J1" s="8" t="s">
        <v>280</v>
      </c>
      <c r="K1" s="8" t="s">
        <v>281</v>
      </c>
      <c r="L1" s="8" t="s">
        <v>27</v>
      </c>
    </row>
    <row r="2" spans="1:12" ht="14.5">
      <c r="A2" s="4" t="str">
        <f>'Feature List'!B2</f>
        <v>Real-Time Data Streaming</v>
      </c>
      <c r="B2" s="4" t="str">
        <f t="array" ref="B2">INDEX('Benchmarking Data'!G2:G131, MATCH('Feature List'!B2, 'Benchmarking Data'!F2:F131, 0))</f>
        <v>Available</v>
      </c>
      <c r="C2" s="4" t="str">
        <f t="array" ref="C2">INDEX('Benchmarking Data'!H2:H131, MATCH(1, ('Benchmarking Data'!F2:F131='Feature List'!B2)*('Benchmarking Data'!C2:C131='Competitor List'!A2), 0))</f>
        <v>Available</v>
      </c>
      <c r="D2" s="4" t="str">
        <f t="array" ref="D2">INDEX('Benchmarking Data'!H2:H131, MATCH(1, ('Benchmarking Data'!F2:F131='Feature List'!B2)*('Benchmarking Data'!C2:C131='Competitor List'!A3), 0))</f>
        <v>Available</v>
      </c>
      <c r="E2" s="4" t="str">
        <f t="array" ref="E2">INDEX('Benchmarking Data'!H2:H131, MATCH(1, ('Benchmarking Data'!F2:F131='Feature List'!B2)*('Benchmarking Data'!C2:C131='Competitor List'!A4), 0))</f>
        <v>Available</v>
      </c>
      <c r="F2" s="4" t="str">
        <f t="array" ref="F2">INDEX('Benchmarking Data'!H2:H131, MATCH(1, ('Benchmarking Data'!F2:F131='Feature List'!B2)*('Benchmarking Data'!C2:C131='Competitor List'!A5), 0))</f>
        <v>Not Available</v>
      </c>
      <c r="G2" s="4" t="str">
        <f t="array" ref="G2">INDEX('Benchmarking Data'!H2:H131, MATCH(1, ('Benchmarking Data'!F2:F131='Feature List'!B2)*('Benchmarking Data'!C2:C131='Competitor List'!A6), 0))</f>
        <v>Available</v>
      </c>
      <c r="H2" s="4">
        <f>AVERAGEIF('Benchmarking Data'!F2:F131, 'Feature List'!B2, 'Benchmarking Data'!J2:J131)</f>
        <v>5.8</v>
      </c>
      <c r="I2" s="4">
        <f>'Feature List'!C2</f>
        <v>6</v>
      </c>
      <c r="J2" s="4" t="str">
        <f>VLOOKUP('Feature List'!B2, 'Gap Analysis'!A2:F26, 4, FALSE)</f>
        <v>Gap</v>
      </c>
      <c r="K2" s="4" t="str">
        <f>VLOOKUP('Feature List'!B2, 'Gap Analysis'!A2:F26, 6, FALSE)</f>
        <v>High</v>
      </c>
      <c r="L2" s="4" t="str">
        <f t="array" ref="L2">INDEX('Benchmarking Data'!AB2:AB131, MATCH('Feature List'!B2, 'Benchmarking Data'!F2:F131, 0))</f>
        <v>Monitor Market</v>
      </c>
    </row>
    <row r="3" spans="1:12" ht="14.5">
      <c r="A3" s="4" t="str">
        <f>'Feature List'!B3</f>
        <v>Custom Dashboard Builder</v>
      </c>
      <c r="B3" s="4" t="str">
        <f t="array" ref="B3">INDEX('Benchmarking Data'!G2:G131, MATCH('Feature List'!B3, 'Benchmarking Data'!F2:F131, 0))</f>
        <v>Available</v>
      </c>
      <c r="C3" s="4" t="str">
        <f t="array" ref="C3">INDEX('Benchmarking Data'!H2:H131, MATCH(1, ('Benchmarking Data'!F2:F131='Feature List'!B3)*('Benchmarking Data'!C2:C131='Competitor List'!A2), 0))</f>
        <v>Partial</v>
      </c>
      <c r="D3" s="4" t="str">
        <f t="array" ref="D3">INDEX('Benchmarking Data'!H2:H131, MATCH(1, ('Benchmarking Data'!F2:F131='Feature List'!B3)*('Benchmarking Data'!C2:C131='Competitor List'!A3), 0))</f>
        <v>Partial</v>
      </c>
      <c r="E3" s="4" t="str">
        <f t="array" ref="E3">INDEX('Benchmarking Data'!H2:H131, MATCH(1, ('Benchmarking Data'!F2:F131='Feature List'!B3)*('Benchmarking Data'!C2:C131='Competitor List'!A4), 0))</f>
        <v>Partial</v>
      </c>
      <c r="F3" s="4" t="str">
        <f t="array" ref="F3">INDEX('Benchmarking Data'!H2:H131, MATCH(1, ('Benchmarking Data'!F2:F131='Feature List'!B3)*('Benchmarking Data'!C2:C131='Competitor List'!A5), 0))</f>
        <v>Partial</v>
      </c>
      <c r="G3" s="4" t="str">
        <f t="array" ref="G3">INDEX('Benchmarking Data'!H2:H131, MATCH(1, ('Benchmarking Data'!F2:F131='Feature List'!B3)*('Benchmarking Data'!C2:C131='Competitor List'!A6), 0))</f>
        <v>Not Available</v>
      </c>
      <c r="H3" s="4">
        <f>AVERAGEIF('Benchmarking Data'!F2:F131, 'Feature List'!B3, 'Benchmarking Data'!J2:J131)</f>
        <v>5.8</v>
      </c>
      <c r="I3" s="4">
        <f>'Feature List'!C3</f>
        <v>6</v>
      </c>
      <c r="J3" s="4" t="str">
        <f>VLOOKUP('Feature List'!B3, 'Gap Analysis'!A2:F26, 4, FALSE)</f>
        <v>Gap</v>
      </c>
      <c r="K3" s="4" t="str">
        <f>VLOOKUP('Feature List'!B3, 'Gap Analysis'!A2:F26, 6, FALSE)</f>
        <v>High</v>
      </c>
      <c r="L3" s="4" t="str">
        <f t="array" ref="L3">INDEX('Benchmarking Data'!AB2:AB131, MATCH('Feature List'!B3, 'Benchmarking Data'!F2:F131, 0))</f>
        <v>Maintain Advantage</v>
      </c>
    </row>
    <row r="4" spans="1:12" ht="14.5">
      <c r="A4" s="4" t="str">
        <f>'Feature List'!B4</f>
        <v>Ad-Hoc Query Engine</v>
      </c>
      <c r="B4" s="4" t="str">
        <f t="array" ref="B4">INDEX('Benchmarking Data'!G2:G131, MATCH('Feature List'!B4, 'Benchmarking Data'!F2:F131, 0))</f>
        <v>Available</v>
      </c>
      <c r="C4" s="4" t="str">
        <f t="array" ref="C4">INDEX('Benchmarking Data'!H2:H131, MATCH(1, ('Benchmarking Data'!F2:F131='Feature List'!B4)*('Benchmarking Data'!C2:C131='Competitor List'!A2), 0))</f>
        <v>Not Available</v>
      </c>
      <c r="D4" s="4" t="str">
        <f t="array" ref="D4">INDEX('Benchmarking Data'!H2:H131, MATCH(1, ('Benchmarking Data'!F2:F131='Feature List'!B4)*('Benchmarking Data'!C2:C131='Competitor List'!A3), 0))</f>
        <v>Not Available</v>
      </c>
      <c r="E4" s="4" t="str">
        <f t="array" ref="E4">INDEX('Benchmarking Data'!H2:H131, MATCH(1, ('Benchmarking Data'!F2:F131='Feature List'!B4)*('Benchmarking Data'!C2:C131='Competitor List'!A4), 0))</f>
        <v>Not Available</v>
      </c>
      <c r="F4" s="4" t="str">
        <f t="array" ref="F4">INDEX('Benchmarking Data'!H2:H131, MATCH(1, ('Benchmarking Data'!F2:F131='Feature List'!B4)*('Benchmarking Data'!C2:C131='Competitor List'!A5), 0))</f>
        <v>Partial</v>
      </c>
      <c r="G4" s="4" t="str">
        <f t="array" ref="G4">INDEX('Benchmarking Data'!H2:H131, MATCH(1, ('Benchmarking Data'!F2:F131='Feature List'!B4)*('Benchmarking Data'!C2:C131='Competitor List'!A6), 0))</f>
        <v>Not Available</v>
      </c>
      <c r="H4" s="4">
        <f>AVERAGEIF('Benchmarking Data'!F2:F131, 'Feature List'!B4, 'Benchmarking Data'!J2:J131)</f>
        <v>7.2</v>
      </c>
      <c r="I4" s="4">
        <f>'Feature List'!C4</f>
        <v>8</v>
      </c>
      <c r="J4" s="4" t="str">
        <f>VLOOKUP('Feature List'!B4, 'Gap Analysis'!A2:F26, 4, FALSE)</f>
        <v>Gap</v>
      </c>
      <c r="K4" s="4" t="str">
        <f>VLOOKUP('Feature List'!B4, 'Gap Analysis'!A2:F26, 6, FALSE)</f>
        <v>High</v>
      </c>
      <c r="L4" s="4" t="str">
        <f t="array" ref="L4">INDEX('Benchmarking Data'!AB2:AB131, MATCH('Feature List'!B4, 'Benchmarking Data'!F2:F131, 0))</f>
        <v>Promote &amp; Monetize</v>
      </c>
    </row>
    <row r="5" spans="1:12" ht="14.5">
      <c r="A5" s="4" t="str">
        <f>'Feature List'!B5</f>
        <v>Automated PDF Reporting</v>
      </c>
      <c r="B5" s="4" t="str">
        <f t="array" ref="B5">INDEX('Benchmarking Data'!G2:G131, MATCH('Feature List'!B5, 'Benchmarking Data'!F2:F131, 0))</f>
        <v>Available</v>
      </c>
      <c r="C5" s="4" t="str">
        <f t="array" ref="C5">INDEX('Benchmarking Data'!H2:H131, MATCH(1, ('Benchmarking Data'!F2:F131='Feature List'!B5)*('Benchmarking Data'!C2:C131='Competitor List'!A2), 0))</f>
        <v>Available</v>
      </c>
      <c r="D5" s="4" t="str">
        <f t="array" ref="D5">INDEX('Benchmarking Data'!H2:H131, MATCH(1, ('Benchmarking Data'!F2:F131='Feature List'!B5)*('Benchmarking Data'!C2:C131='Competitor List'!A3), 0))</f>
        <v>Not Available</v>
      </c>
      <c r="E5" s="4" t="str">
        <f t="array" ref="E5">INDEX('Benchmarking Data'!H2:H131, MATCH(1, ('Benchmarking Data'!F2:F131='Feature List'!B5)*('Benchmarking Data'!C2:C131='Competitor List'!A4), 0))</f>
        <v>Not Available</v>
      </c>
      <c r="F5" s="4" t="str">
        <f t="array" ref="F5">INDEX('Benchmarking Data'!H2:H131, MATCH(1, ('Benchmarking Data'!F2:F131='Feature List'!B5)*('Benchmarking Data'!C2:C131='Competitor List'!A5), 0))</f>
        <v>Partial</v>
      </c>
      <c r="G5" s="4" t="str">
        <f t="array" ref="G5">INDEX('Benchmarking Data'!H2:H131, MATCH(1, ('Benchmarking Data'!F2:F131='Feature List'!B5)*('Benchmarking Data'!C2:C131='Competitor List'!A6), 0))</f>
        <v>Partial</v>
      </c>
      <c r="H5" s="4">
        <f>AVERAGEIF('Benchmarking Data'!F2:F131, 'Feature List'!B5, 'Benchmarking Data'!J2:J131)</f>
        <v>8.6</v>
      </c>
      <c r="I5" s="4">
        <f>'Feature List'!C5</f>
        <v>7</v>
      </c>
      <c r="J5" s="4" t="str">
        <f>VLOOKUP('Feature List'!B5, 'Gap Analysis'!A2:F26, 4, FALSE)</f>
        <v>Gap</v>
      </c>
      <c r="K5" s="4" t="str">
        <f>VLOOKUP('Feature List'!B5, 'Gap Analysis'!A2:F26, 6, FALSE)</f>
        <v>High</v>
      </c>
      <c r="L5" s="4" t="str">
        <f t="array" ref="L5">INDEX('Benchmarking Data'!AB2:AB131, MATCH('Feature List'!B5, 'Benchmarking Data'!F2:F131, 0))</f>
        <v>Monitor Market</v>
      </c>
    </row>
    <row r="6" spans="1:12" ht="14.5">
      <c r="A6" s="4" t="str">
        <f>'Feature List'!B6</f>
        <v>Data Export (CSV/XLSX/JSON)</v>
      </c>
      <c r="B6" s="4" t="str">
        <f t="array" ref="B6">INDEX('Benchmarking Data'!G2:G131, MATCH('Feature List'!B6, 'Benchmarking Data'!F2:F131, 0))</f>
        <v>Available</v>
      </c>
      <c r="C6" s="4" t="str">
        <f t="array" ref="C6">INDEX('Benchmarking Data'!H2:H131, MATCH(1, ('Benchmarking Data'!F2:F131='Feature List'!B6)*('Benchmarking Data'!C2:C131='Competitor List'!A2), 0))</f>
        <v>Not Available</v>
      </c>
      <c r="D6" s="4" t="str">
        <f t="array" ref="D6">INDEX('Benchmarking Data'!H2:H131, MATCH(1, ('Benchmarking Data'!F2:F131='Feature List'!B6)*('Benchmarking Data'!C2:C131='Competitor List'!A3), 0))</f>
        <v>Not Available</v>
      </c>
      <c r="E6" s="4" t="str">
        <f t="array" ref="E6">INDEX('Benchmarking Data'!H2:H131, MATCH(1, ('Benchmarking Data'!F2:F131='Feature List'!B6)*('Benchmarking Data'!C2:C131='Competitor List'!A4), 0))</f>
        <v>Not Available</v>
      </c>
      <c r="F6" s="4" t="str">
        <f t="array" ref="F6">INDEX('Benchmarking Data'!H2:H131, MATCH(1, ('Benchmarking Data'!F2:F131='Feature List'!B6)*('Benchmarking Data'!C2:C131='Competitor List'!A5), 0))</f>
        <v>Partial</v>
      </c>
      <c r="G6" s="4" t="str">
        <f t="array" ref="G6">INDEX('Benchmarking Data'!H2:H131, MATCH(1, ('Benchmarking Data'!F2:F131='Feature List'!B6)*('Benchmarking Data'!C2:C131='Competitor List'!A6), 0))</f>
        <v>Not Available</v>
      </c>
      <c r="H6" s="4">
        <f>AVERAGEIF('Benchmarking Data'!F2:F131, 'Feature List'!B6, 'Benchmarking Data'!J2:J131)</f>
        <v>7.6</v>
      </c>
      <c r="I6" s="4">
        <f>'Feature List'!C6</f>
        <v>7</v>
      </c>
      <c r="J6" s="4" t="str">
        <f>VLOOKUP('Feature List'!B6, 'Gap Analysis'!A2:F26, 4, FALSE)</f>
        <v>Gap</v>
      </c>
      <c r="K6" s="4" t="str">
        <f>VLOOKUP('Feature List'!B6, 'Gap Analysis'!A2:F26, 6, FALSE)</f>
        <v>High</v>
      </c>
      <c r="L6" s="4" t="str">
        <f t="array" ref="L6">INDEX('Benchmarking Data'!AB2:AB131, MATCH('Feature List'!B6, 'Benchmarking Data'!F2:F131, 0))</f>
        <v>Promote &amp; Monetize</v>
      </c>
    </row>
    <row r="7" spans="1:12" ht="14.5">
      <c r="A7" s="4" t="str">
        <f>'Feature List'!B7</f>
        <v>Interactive Drill-Downs</v>
      </c>
      <c r="B7" s="4" t="str">
        <f t="array" ref="B7">INDEX('Benchmarking Data'!G2:G131, MATCH('Feature List'!B7, 'Benchmarking Data'!F2:F131, 0))</f>
        <v>Available</v>
      </c>
      <c r="C7" s="4" t="str">
        <f t="array" ref="C7">INDEX('Benchmarking Data'!H2:H131, MATCH(1, ('Benchmarking Data'!F2:F131='Feature List'!B7)*('Benchmarking Data'!C2:C131='Competitor List'!A2), 0))</f>
        <v>Partial</v>
      </c>
      <c r="D7" s="4" t="str">
        <f t="array" ref="D7">INDEX('Benchmarking Data'!H2:H131, MATCH(1, ('Benchmarking Data'!F2:F131='Feature List'!B7)*('Benchmarking Data'!C2:C131='Competitor List'!A3), 0))</f>
        <v>Partial</v>
      </c>
      <c r="E7" s="4" t="str">
        <f t="array" ref="E7">INDEX('Benchmarking Data'!H2:H131, MATCH(1, ('Benchmarking Data'!F2:F131='Feature List'!B7)*('Benchmarking Data'!C2:C131='Competitor List'!A4), 0))</f>
        <v>Partial</v>
      </c>
      <c r="F7" s="4" t="str">
        <f t="array" ref="F7">INDEX('Benchmarking Data'!H2:H131, MATCH(1, ('Benchmarking Data'!F2:F131='Feature List'!B7)*('Benchmarking Data'!C2:C131='Competitor List'!A5), 0))</f>
        <v>Available</v>
      </c>
      <c r="G7" s="4" t="str">
        <f t="array" ref="G7">INDEX('Benchmarking Data'!H2:H131, MATCH(1, ('Benchmarking Data'!F2:F131='Feature List'!B7)*('Benchmarking Data'!C2:C131='Competitor List'!A6), 0))</f>
        <v>Partial</v>
      </c>
      <c r="H7" s="4">
        <f>AVERAGEIF('Benchmarking Data'!F2:F131, 'Feature List'!B7, 'Benchmarking Data'!J2:J131)</f>
        <v>7.8</v>
      </c>
      <c r="I7" s="4">
        <f>'Feature List'!C7</f>
        <v>7</v>
      </c>
      <c r="J7" s="4" t="str">
        <f>VLOOKUP('Feature List'!B7, 'Gap Analysis'!A2:F26, 4, FALSE)</f>
        <v>Gap</v>
      </c>
      <c r="K7" s="4" t="str">
        <f>VLOOKUP('Feature List'!B7, 'Gap Analysis'!A2:F26, 6, FALSE)</f>
        <v>High</v>
      </c>
      <c r="L7" s="4" t="str">
        <f t="array" ref="L7">INDEX('Benchmarking Data'!AB2:AB131, MATCH('Feature List'!B7, 'Benchmarking Data'!F2:F131, 0))</f>
        <v>Maintain Advantage</v>
      </c>
    </row>
    <row r="8" spans="1:12" ht="14.5">
      <c r="A8" s="4" t="str">
        <f>'Feature List'!B8</f>
        <v>Predictive Anomaly Detection</v>
      </c>
      <c r="B8" s="4" t="str">
        <f t="array" ref="B8">INDEX('Benchmarking Data'!G2:G131, MATCH('Feature List'!B8, 'Benchmarking Data'!F2:F131, 0))</f>
        <v>Available</v>
      </c>
      <c r="C8" s="4" t="str">
        <f t="array" ref="C8">INDEX('Benchmarking Data'!H2:H131, MATCH(1, ('Benchmarking Data'!F2:F131='Feature List'!B8)*('Benchmarking Data'!C2:C131='Competitor List'!A2), 0))</f>
        <v>Available</v>
      </c>
      <c r="D8" s="4" t="str">
        <f t="array" ref="D8">INDEX('Benchmarking Data'!H2:H131, MATCH(1, ('Benchmarking Data'!F2:F131='Feature List'!B8)*('Benchmarking Data'!C2:C131='Competitor List'!A3), 0))</f>
        <v>Partial</v>
      </c>
      <c r="E8" s="4" t="str">
        <f t="array" ref="E8">INDEX('Benchmarking Data'!H2:H131, MATCH(1, ('Benchmarking Data'!F2:F131='Feature List'!B8)*('Benchmarking Data'!C2:C131='Competitor List'!A4), 0))</f>
        <v>Partial</v>
      </c>
      <c r="F8" s="4" t="str">
        <f t="array" ref="F8">INDEX('Benchmarking Data'!H2:H131, MATCH(1, ('Benchmarking Data'!F2:F131='Feature List'!B8)*('Benchmarking Data'!C2:C131='Competitor List'!A5), 0))</f>
        <v>Partial</v>
      </c>
      <c r="G8" s="4" t="str">
        <f t="array" ref="G8">INDEX('Benchmarking Data'!H2:H131, MATCH(1, ('Benchmarking Data'!F2:F131='Feature List'!B8)*('Benchmarking Data'!C2:C131='Competitor List'!A6), 0))</f>
        <v>Available</v>
      </c>
      <c r="H8" s="4">
        <f>AVERAGEIF('Benchmarking Data'!F2:F131, 'Feature List'!B8, 'Benchmarking Data'!J2:J131)</f>
        <v>5.8</v>
      </c>
      <c r="I8" s="4">
        <f>'Feature List'!C8</f>
        <v>6</v>
      </c>
      <c r="J8" s="4" t="str">
        <f>VLOOKUP('Feature List'!B8, 'Gap Analysis'!A2:F26, 4, FALSE)</f>
        <v>Gap</v>
      </c>
      <c r="K8" s="4" t="str">
        <f>VLOOKUP('Feature List'!B8, 'Gap Analysis'!A2:F26, 6, FALSE)</f>
        <v>High</v>
      </c>
      <c r="L8" s="4" t="str">
        <f t="array" ref="L8">INDEX('Benchmarking Data'!AB2:AB131, MATCH('Feature List'!B8, 'Benchmarking Data'!F2:F131, 0))</f>
        <v>Monitor Market</v>
      </c>
    </row>
    <row r="9" spans="1:12" ht="14.5">
      <c r="A9" s="4" t="str">
        <f>'Feature List'!B9</f>
        <v>Automated Insight Generation</v>
      </c>
      <c r="B9" s="4" t="str">
        <f t="array" ref="B9">INDEX('Benchmarking Data'!G2:G131, MATCH('Feature List'!B9, 'Benchmarking Data'!F2:F131, 0))</f>
        <v>Available</v>
      </c>
      <c r="C9" s="4" t="str">
        <f t="array" ref="C9">INDEX('Benchmarking Data'!H2:H131, MATCH(1, ('Benchmarking Data'!F2:F131='Feature List'!B9)*('Benchmarking Data'!C2:C131='Competitor List'!A2), 0))</f>
        <v>Available</v>
      </c>
      <c r="D9" s="4" t="str">
        <f t="array" ref="D9">INDEX('Benchmarking Data'!H2:H131, MATCH(1, ('Benchmarking Data'!F2:F131='Feature List'!B9)*('Benchmarking Data'!C2:C131='Competitor List'!A3), 0))</f>
        <v>Partial</v>
      </c>
      <c r="E9" s="4" t="str">
        <f t="array" ref="E9">INDEX('Benchmarking Data'!H2:H131, MATCH(1, ('Benchmarking Data'!F2:F131='Feature List'!B9)*('Benchmarking Data'!C2:C131='Competitor List'!A4), 0))</f>
        <v>Not Available</v>
      </c>
      <c r="F9" s="4" t="str">
        <f t="array" ref="F9">INDEX('Benchmarking Data'!H2:H131, MATCH(1, ('Benchmarking Data'!F2:F131='Feature List'!B9)*('Benchmarking Data'!C2:C131='Competitor List'!A5), 0))</f>
        <v>Available</v>
      </c>
      <c r="G9" s="4" t="str">
        <f t="array" ref="G9">INDEX('Benchmarking Data'!H2:H131, MATCH(1, ('Benchmarking Data'!F2:F131='Feature List'!B9)*('Benchmarking Data'!C2:C131='Competitor List'!A6), 0))</f>
        <v>Partial</v>
      </c>
      <c r="H9" s="4">
        <f>AVERAGEIF('Benchmarking Data'!F2:F131, 'Feature List'!B9, 'Benchmarking Data'!J2:J131)</f>
        <v>8.8000000000000007</v>
      </c>
      <c r="I9" s="4">
        <f>'Feature List'!C9</f>
        <v>10</v>
      </c>
      <c r="J9" s="4" t="str">
        <f>VLOOKUP('Feature List'!B9, 'Gap Analysis'!A2:F26, 4, FALSE)</f>
        <v>Gap</v>
      </c>
      <c r="K9" s="4" t="str">
        <f>VLOOKUP('Feature List'!B9, 'Gap Analysis'!A2:F26, 6, FALSE)</f>
        <v>Medium</v>
      </c>
      <c r="L9" s="4" t="str">
        <f t="array" ref="L9">INDEX('Benchmarking Data'!AB2:AB131, MATCH('Feature List'!B9, 'Benchmarking Data'!F2:F131, 0))</f>
        <v>Monitor Market</v>
      </c>
    </row>
    <row r="10" spans="1:12" ht="14.5">
      <c r="A10" s="4" t="str">
        <f>'Feature List'!B10</f>
        <v>Natural Language Querying (NLQ)</v>
      </c>
      <c r="B10" s="4" t="str">
        <f t="array" ref="B10">INDEX('Benchmarking Data'!G2:G131, MATCH('Feature List'!B10, 'Benchmarking Data'!F2:F131, 0))</f>
        <v>Partial</v>
      </c>
      <c r="C10" s="4" t="str">
        <f t="array" ref="C10">INDEX('Benchmarking Data'!H2:H131, MATCH(1, ('Benchmarking Data'!F2:F131='Feature List'!B10)*('Benchmarking Data'!C2:C131='Competitor List'!A2), 0))</f>
        <v>Partial</v>
      </c>
      <c r="D10" s="4" t="str">
        <f t="array" ref="D10">INDEX('Benchmarking Data'!H2:H131, MATCH(1, ('Benchmarking Data'!F2:F131='Feature List'!B10)*('Benchmarking Data'!C2:C131='Competitor List'!A3), 0))</f>
        <v>Partial</v>
      </c>
      <c r="E10" s="4" t="str">
        <f t="array" ref="E10">INDEX('Benchmarking Data'!H2:H131, MATCH(1, ('Benchmarking Data'!F2:F131='Feature List'!B10)*('Benchmarking Data'!C2:C131='Competitor List'!A4), 0))</f>
        <v>Not Available</v>
      </c>
      <c r="F10" s="4" t="str">
        <f t="array" ref="F10">INDEX('Benchmarking Data'!H2:H131, MATCH(1, ('Benchmarking Data'!F2:F131='Feature List'!B10)*('Benchmarking Data'!C2:C131='Competitor List'!A5), 0))</f>
        <v>Not Available</v>
      </c>
      <c r="G10" s="4" t="str">
        <f t="array" ref="G10">INDEX('Benchmarking Data'!H2:H131, MATCH(1, ('Benchmarking Data'!F2:F131='Feature List'!B10)*('Benchmarking Data'!C2:C131='Competitor List'!A6), 0))</f>
        <v>Available</v>
      </c>
      <c r="H10" s="4">
        <f>AVERAGEIF('Benchmarking Data'!F2:F131, 'Feature List'!B10, 'Benchmarking Data'!J2:J131)</f>
        <v>7</v>
      </c>
      <c r="I10" s="4">
        <f>'Feature List'!C10</f>
        <v>6</v>
      </c>
      <c r="J10" s="4" t="str">
        <f>VLOOKUP('Feature List'!B10, 'Gap Analysis'!A2:F26, 4, FALSE)</f>
        <v>Gap</v>
      </c>
      <c r="K10" s="4" t="str">
        <f>VLOOKUP('Feature List'!B10, 'Gap Analysis'!A2:F26, 6, FALSE)</f>
        <v>High</v>
      </c>
      <c r="L10" s="4" t="str">
        <f t="array" ref="L10">INDEX('Benchmarking Data'!AB2:AB131, MATCH('Feature List'!B10, 'Benchmarking Data'!F2:F131, 0))</f>
        <v>Monitor Market</v>
      </c>
    </row>
    <row r="11" spans="1:12" ht="14.5">
      <c r="A11" s="4" t="str">
        <f>'Feature List'!B11</f>
        <v>Forecasting &amp; Trend Projection</v>
      </c>
      <c r="B11" s="4" t="str">
        <f t="array" ref="B11">INDEX('Benchmarking Data'!G2:G131, MATCH('Feature List'!B11, 'Benchmarking Data'!F2:F131, 0))</f>
        <v>Available</v>
      </c>
      <c r="C11" s="4" t="str">
        <f t="array" ref="C11">INDEX('Benchmarking Data'!H2:H131, MATCH(1, ('Benchmarking Data'!F2:F131='Feature List'!B11)*('Benchmarking Data'!C2:C131='Competitor List'!A2), 0))</f>
        <v>Available</v>
      </c>
      <c r="D11" s="4" t="str">
        <f t="array" ref="D11">INDEX('Benchmarking Data'!H2:H131, MATCH(1, ('Benchmarking Data'!F2:F131='Feature List'!B11)*('Benchmarking Data'!C2:C131='Competitor List'!A3), 0))</f>
        <v>Partial</v>
      </c>
      <c r="E11" s="4" t="str">
        <f t="array" ref="E11">INDEX('Benchmarking Data'!H2:H131, MATCH(1, ('Benchmarking Data'!F2:F131='Feature List'!B11)*('Benchmarking Data'!C2:C131='Competitor List'!A4), 0))</f>
        <v>Not Available</v>
      </c>
      <c r="F11" s="4" t="str">
        <f t="array" ref="F11">INDEX('Benchmarking Data'!H2:H131, MATCH(1, ('Benchmarking Data'!F2:F131='Feature List'!B11)*('Benchmarking Data'!C2:C131='Competitor List'!A5), 0))</f>
        <v>Not Available</v>
      </c>
      <c r="G11" s="4" t="str">
        <f t="array" ref="G11">INDEX('Benchmarking Data'!H2:H131, MATCH(1, ('Benchmarking Data'!F2:F131='Feature List'!B11)*('Benchmarking Data'!C2:C131='Competitor List'!A6), 0))</f>
        <v>Available</v>
      </c>
      <c r="H11" s="4">
        <f>AVERAGEIF('Benchmarking Data'!F2:F131, 'Feature List'!B11, 'Benchmarking Data'!J2:J131)</f>
        <v>7.8</v>
      </c>
      <c r="I11" s="4">
        <f>'Feature List'!C11</f>
        <v>10</v>
      </c>
      <c r="J11" s="4" t="str">
        <f>VLOOKUP('Feature List'!B11, 'Gap Analysis'!A2:F26, 4, FALSE)</f>
        <v>No Gap</v>
      </c>
      <c r="K11" s="4" t="str">
        <f>VLOOKUP('Feature List'!B11, 'Gap Analysis'!A2:F26, 6, FALSE)</f>
        <v>Low</v>
      </c>
      <c r="L11" s="4" t="str">
        <f t="array" ref="L11">INDEX('Benchmarking Data'!AB2:AB131, MATCH('Feature List'!B11, 'Benchmarking Data'!F2:F131, 0))</f>
        <v>Monitor Market</v>
      </c>
    </row>
    <row r="12" spans="1:12" ht="14.5">
      <c r="A12" s="4" t="str">
        <f>'Feature List'!B12</f>
        <v>Smart Alerting &amp; Triggers</v>
      </c>
      <c r="B12" s="4" t="str">
        <f t="array" ref="B12">INDEX('Benchmarking Data'!G2:G131, MATCH('Feature List'!B12, 'Benchmarking Data'!F2:F131, 0))</f>
        <v>Available</v>
      </c>
      <c r="C12" s="4" t="str">
        <f t="array" ref="C12">INDEX('Benchmarking Data'!H2:H131, MATCH(1, ('Benchmarking Data'!F2:F131='Feature List'!B12)*('Benchmarking Data'!C2:C131='Competitor List'!A2), 0))</f>
        <v>Available</v>
      </c>
      <c r="D12" s="4" t="str">
        <f t="array" ref="D12">INDEX('Benchmarking Data'!H2:H131, MATCH(1, ('Benchmarking Data'!F2:F131='Feature List'!B12)*('Benchmarking Data'!C2:C131='Competitor List'!A3), 0))</f>
        <v>Not Available</v>
      </c>
      <c r="E12" s="4" t="str">
        <f t="array" ref="E12">INDEX('Benchmarking Data'!H2:H131, MATCH(1, ('Benchmarking Data'!F2:F131='Feature List'!B12)*('Benchmarking Data'!C2:C131='Competitor List'!A4), 0))</f>
        <v>Partial</v>
      </c>
      <c r="F12" s="4" t="str">
        <f t="array" ref="F12">INDEX('Benchmarking Data'!H2:H131, MATCH(1, ('Benchmarking Data'!F2:F131='Feature List'!B12)*('Benchmarking Data'!C2:C131='Competitor List'!A5), 0))</f>
        <v>Not Available</v>
      </c>
      <c r="G12" s="4" t="str">
        <f t="array" ref="G12">INDEX('Benchmarking Data'!H2:H131, MATCH(1, ('Benchmarking Data'!F2:F131='Feature List'!B12)*('Benchmarking Data'!C2:C131='Competitor List'!A6), 0))</f>
        <v>Available</v>
      </c>
      <c r="H12" s="4">
        <f>AVERAGEIF('Benchmarking Data'!F2:F131, 'Feature List'!B12, 'Benchmarking Data'!J2:J131)</f>
        <v>6.8</v>
      </c>
      <c r="I12" s="4">
        <f>'Feature List'!C12</f>
        <v>9</v>
      </c>
      <c r="J12" s="4" t="str">
        <f>VLOOKUP('Feature List'!B12, 'Gap Analysis'!A2:F26, 4, FALSE)</f>
        <v>Gap</v>
      </c>
      <c r="K12" s="4" t="str">
        <f>VLOOKUP('Feature List'!B12, 'Gap Analysis'!A2:F26, 6, FALSE)</f>
        <v>High</v>
      </c>
      <c r="L12" s="4" t="str">
        <f t="array" ref="L12">INDEX('Benchmarking Data'!AB2:AB131, MATCH('Feature List'!B12, 'Benchmarking Data'!F2:F131, 0))</f>
        <v>Monitor Market</v>
      </c>
    </row>
    <row r="13" spans="1:12" ht="14.5">
      <c r="A13" s="4" t="str">
        <f>'Feature List'!B13</f>
        <v>REST API &amp; Webhooks</v>
      </c>
      <c r="B13" s="4" t="str">
        <f t="array" ref="B13">INDEX('Benchmarking Data'!G2:G131, MATCH('Feature List'!B13, 'Benchmarking Data'!F2:F131, 0))</f>
        <v>Available</v>
      </c>
      <c r="C13" s="4" t="str">
        <f t="array" ref="C13">INDEX('Benchmarking Data'!H2:H131, MATCH(1, ('Benchmarking Data'!F2:F131='Feature List'!B13)*('Benchmarking Data'!C2:C131='Competitor List'!A2), 0))</f>
        <v>Available</v>
      </c>
      <c r="D13" s="4" t="str">
        <f t="array" ref="D13">INDEX('Benchmarking Data'!H2:H131, MATCH(1, ('Benchmarking Data'!F2:F131='Feature List'!B13)*('Benchmarking Data'!C2:C131='Competitor List'!A3), 0))</f>
        <v>Partial</v>
      </c>
      <c r="E13" s="4" t="str">
        <f t="array" ref="E13">INDEX('Benchmarking Data'!H2:H131, MATCH(1, ('Benchmarking Data'!F2:F131='Feature List'!B13)*('Benchmarking Data'!C2:C131='Competitor List'!A4), 0))</f>
        <v>Available</v>
      </c>
      <c r="F13" s="4" t="str">
        <f t="array" ref="F13">INDEX('Benchmarking Data'!H2:H131, MATCH(1, ('Benchmarking Data'!F2:F131='Feature List'!B13)*('Benchmarking Data'!C2:C131='Competitor List'!A5), 0))</f>
        <v>Available</v>
      </c>
      <c r="G13" s="4" t="str">
        <f t="array" ref="G13">INDEX('Benchmarking Data'!H2:H131, MATCH(1, ('Benchmarking Data'!F2:F131='Feature List'!B13)*('Benchmarking Data'!C2:C131='Competitor List'!A6), 0))</f>
        <v>Partial</v>
      </c>
      <c r="H13" s="4">
        <f>AVERAGEIF('Benchmarking Data'!F2:F131, 'Feature List'!B13, 'Benchmarking Data'!J2:J131)</f>
        <v>7.2</v>
      </c>
      <c r="I13" s="4">
        <f>'Feature List'!C13</f>
        <v>6</v>
      </c>
      <c r="J13" s="4" t="str">
        <f>VLOOKUP('Feature List'!B13, 'Gap Analysis'!A2:F26, 4, FALSE)</f>
        <v>Gap</v>
      </c>
      <c r="K13" s="4" t="str">
        <f>VLOOKUP('Feature List'!B13, 'Gap Analysis'!A2:F26, 6, FALSE)</f>
        <v>High</v>
      </c>
      <c r="L13" s="4" t="str">
        <f t="array" ref="L13">INDEX('Benchmarking Data'!AB2:AB131, MATCH('Feature List'!B13, 'Benchmarking Data'!F2:F131, 0))</f>
        <v>Monitor Market</v>
      </c>
    </row>
    <row r="14" spans="1:12" ht="14.5">
      <c r="A14" s="4" t="str">
        <f>'Feature List'!B14</f>
        <v>Pre-built Salesforce Connector</v>
      </c>
      <c r="B14" s="4" t="str">
        <f t="array" ref="B14">INDEX('Benchmarking Data'!G2:G131, MATCH('Feature List'!B14, 'Benchmarking Data'!F2:F131, 0))</f>
        <v>Available</v>
      </c>
      <c r="C14" s="4" t="str">
        <f t="array" ref="C14">INDEX('Benchmarking Data'!H2:H131, MATCH(1, ('Benchmarking Data'!F2:F131='Feature List'!B14)*('Benchmarking Data'!C2:C131='Competitor List'!A2), 0))</f>
        <v>Not Available</v>
      </c>
      <c r="D14" s="4" t="str">
        <f t="array" ref="D14">INDEX('Benchmarking Data'!H2:H131, MATCH(1, ('Benchmarking Data'!F2:F131='Feature List'!B14)*('Benchmarking Data'!C2:C131='Competitor List'!A3), 0))</f>
        <v>Partial</v>
      </c>
      <c r="E14" s="4" t="str">
        <f t="array" ref="E14">INDEX('Benchmarking Data'!H2:H131, MATCH(1, ('Benchmarking Data'!F2:F131='Feature List'!B14)*('Benchmarking Data'!C2:C131='Competitor List'!A4), 0))</f>
        <v>Available</v>
      </c>
      <c r="F14" s="4" t="str">
        <f t="array" ref="F14">INDEX('Benchmarking Data'!H2:H131, MATCH(1, ('Benchmarking Data'!F2:F131='Feature List'!B14)*('Benchmarking Data'!C2:C131='Competitor List'!A5), 0))</f>
        <v>Partial</v>
      </c>
      <c r="G14" s="4" t="str">
        <f t="array" ref="G14">INDEX('Benchmarking Data'!H2:H131, MATCH(1, ('Benchmarking Data'!F2:F131='Feature List'!B14)*('Benchmarking Data'!C2:C131='Competitor List'!A6), 0))</f>
        <v>Partial</v>
      </c>
      <c r="H14" s="4">
        <f>AVERAGEIF('Benchmarking Data'!F2:F131, 'Feature List'!B14, 'Benchmarking Data'!J2:J131)</f>
        <v>7.6</v>
      </c>
      <c r="I14" s="4">
        <f>'Feature List'!C14</f>
        <v>6</v>
      </c>
      <c r="J14" s="4" t="str">
        <f>VLOOKUP('Feature List'!B14, 'Gap Analysis'!A2:F26, 4, FALSE)</f>
        <v>Gap</v>
      </c>
      <c r="K14" s="4" t="str">
        <f>VLOOKUP('Feature List'!B14, 'Gap Analysis'!A2:F26, 6, FALSE)</f>
        <v>High</v>
      </c>
      <c r="L14" s="4" t="str">
        <f t="array" ref="L14">INDEX('Benchmarking Data'!AB2:AB131, MATCH('Feature List'!B14, 'Benchmarking Data'!F2:F131, 0))</f>
        <v>Promote &amp; Monetize</v>
      </c>
    </row>
    <row r="15" spans="1:12" ht="14.5">
      <c r="A15" s="4" t="str">
        <f>'Feature List'!B15</f>
        <v>Snowflake &amp; BigQuery Sync</v>
      </c>
      <c r="B15" s="4" t="str">
        <f t="array" ref="B15">INDEX('Benchmarking Data'!G2:G131, MATCH('Feature List'!B15, 'Benchmarking Data'!F2:F131, 0))</f>
        <v>Available</v>
      </c>
      <c r="C15" s="4" t="str">
        <f t="array" ref="C15">INDEX('Benchmarking Data'!H2:H131, MATCH(1, ('Benchmarking Data'!F2:F131='Feature List'!B15)*('Benchmarking Data'!C2:C131='Competitor List'!A2), 0))</f>
        <v>Partial</v>
      </c>
      <c r="D15" s="4" t="str">
        <f t="array" ref="D15">INDEX('Benchmarking Data'!H2:H131, MATCH(1, ('Benchmarking Data'!F2:F131='Feature List'!B15)*('Benchmarking Data'!C2:C131='Competitor List'!A3), 0))</f>
        <v>Available</v>
      </c>
      <c r="E15" s="4" t="str">
        <f t="array" ref="E15">INDEX('Benchmarking Data'!H2:H131, MATCH(1, ('Benchmarking Data'!F2:F131='Feature List'!B15)*('Benchmarking Data'!C2:C131='Competitor List'!A4), 0))</f>
        <v>Partial</v>
      </c>
      <c r="F15" s="4" t="str">
        <f t="array" ref="F15">INDEX('Benchmarking Data'!H2:H131, MATCH(1, ('Benchmarking Data'!F2:F131='Feature List'!B15)*('Benchmarking Data'!C2:C131='Competitor List'!A5), 0))</f>
        <v>Partial</v>
      </c>
      <c r="G15" s="4" t="str">
        <f t="array" ref="G15">INDEX('Benchmarking Data'!H2:H131, MATCH(1, ('Benchmarking Data'!F2:F131='Feature List'!B15)*('Benchmarking Data'!C2:C131='Competitor List'!A6), 0))</f>
        <v>Partial</v>
      </c>
      <c r="H15" s="4">
        <f>AVERAGEIF('Benchmarking Data'!F2:F131, 'Feature List'!B15, 'Benchmarking Data'!J2:J131)</f>
        <v>7.2</v>
      </c>
      <c r="I15" s="4">
        <f>'Feature List'!C15</f>
        <v>6</v>
      </c>
      <c r="J15" s="4" t="str">
        <f>VLOOKUP('Feature List'!B15, 'Gap Analysis'!A2:F26, 4, FALSE)</f>
        <v>Gap</v>
      </c>
      <c r="K15" s="4" t="str">
        <f>VLOOKUP('Feature List'!B15, 'Gap Analysis'!A2:F26, 6, FALSE)</f>
        <v>High</v>
      </c>
      <c r="L15" s="4" t="str">
        <f t="array" ref="L15">INDEX('Benchmarking Data'!AB2:AB131, MATCH('Feature List'!B15, 'Benchmarking Data'!F2:F131, 0))</f>
        <v>Maintain Advantage</v>
      </c>
    </row>
    <row r="16" spans="1:12" ht="14.5">
      <c r="A16" s="4" t="str">
        <f>'Feature List'!B16</f>
        <v>Zapier &amp; Make Integration</v>
      </c>
      <c r="B16" s="4" t="str">
        <f t="array" ref="B16">INDEX('Benchmarking Data'!G2:G131, MATCH('Feature List'!B16, 'Benchmarking Data'!F2:F131, 0))</f>
        <v>Available</v>
      </c>
      <c r="C16" s="4" t="str">
        <f t="array" ref="C16">INDEX('Benchmarking Data'!H2:H131, MATCH(1, ('Benchmarking Data'!F2:F131='Feature List'!B16)*('Benchmarking Data'!C2:C131='Competitor List'!A2), 0))</f>
        <v>Not Available</v>
      </c>
      <c r="D16" s="4" t="str">
        <f t="array" ref="D16">INDEX('Benchmarking Data'!H2:H131, MATCH(1, ('Benchmarking Data'!F2:F131='Feature List'!B16)*('Benchmarking Data'!C2:C131='Competitor List'!A3), 0))</f>
        <v>Partial</v>
      </c>
      <c r="E16" s="4" t="str">
        <f t="array" ref="E16">INDEX('Benchmarking Data'!H2:H131, MATCH(1, ('Benchmarking Data'!F2:F131='Feature List'!B16)*('Benchmarking Data'!C2:C131='Competitor List'!A4), 0))</f>
        <v>Available</v>
      </c>
      <c r="F16" s="4" t="str">
        <f t="array" ref="F16">INDEX('Benchmarking Data'!H2:H131, MATCH(1, ('Benchmarking Data'!F2:F131='Feature List'!B16)*('Benchmarking Data'!C2:C131='Competitor List'!A5), 0))</f>
        <v>Not Available</v>
      </c>
      <c r="G16" s="4" t="str">
        <f t="array" ref="G16">INDEX('Benchmarking Data'!H2:H131, MATCH(1, ('Benchmarking Data'!F2:F131='Feature List'!B16)*('Benchmarking Data'!C2:C131='Competitor List'!A6), 0))</f>
        <v>Available</v>
      </c>
      <c r="H16" s="4">
        <f>AVERAGEIF('Benchmarking Data'!F2:F131, 'Feature List'!B16, 'Benchmarking Data'!J2:J131)</f>
        <v>7.8</v>
      </c>
      <c r="I16" s="4">
        <f>'Feature List'!C16</f>
        <v>7</v>
      </c>
      <c r="J16" s="4" t="str">
        <f>VLOOKUP('Feature List'!B16, 'Gap Analysis'!A2:F26, 4, FALSE)</f>
        <v>Gap</v>
      </c>
      <c r="K16" s="4" t="str">
        <f>VLOOKUP('Feature List'!B16, 'Gap Analysis'!A2:F26, 6, FALSE)</f>
        <v>High</v>
      </c>
      <c r="L16" s="4" t="str">
        <f t="array" ref="L16">INDEX('Benchmarking Data'!AB2:AB131, MATCH('Feature List'!B16, 'Benchmarking Data'!F2:F131, 0))</f>
        <v>Promote &amp; Monetize</v>
      </c>
    </row>
    <row r="17" spans="1:12" ht="14.5">
      <c r="A17" s="4" t="str">
        <f>'Feature List'!B17</f>
        <v>Custom ETL Scripting Support</v>
      </c>
      <c r="B17" s="4" t="str">
        <f t="array" ref="B17">INDEX('Benchmarking Data'!G2:G131, MATCH('Feature List'!B17, 'Benchmarking Data'!F2:F131, 0))</f>
        <v>Available</v>
      </c>
      <c r="C17" s="4" t="str">
        <f t="array" ref="C17">INDEX('Benchmarking Data'!H2:H131, MATCH(1, ('Benchmarking Data'!F2:F131='Feature List'!B17)*('Benchmarking Data'!C2:C131='Competitor List'!A2), 0))</f>
        <v>Not Available</v>
      </c>
      <c r="D17" s="4" t="str">
        <f t="array" ref="D17">INDEX('Benchmarking Data'!H2:H131, MATCH(1, ('Benchmarking Data'!F2:F131='Feature List'!B17)*('Benchmarking Data'!C2:C131='Competitor List'!A3), 0))</f>
        <v>Available</v>
      </c>
      <c r="E17" s="4" t="str">
        <f t="array" ref="E17">INDEX('Benchmarking Data'!H2:H131, MATCH(1, ('Benchmarking Data'!F2:F131='Feature List'!B17)*('Benchmarking Data'!C2:C131='Competitor List'!A4), 0))</f>
        <v>Partial</v>
      </c>
      <c r="F17" s="4" t="str">
        <f t="array" ref="F17">INDEX('Benchmarking Data'!H2:H131, MATCH(1, ('Benchmarking Data'!F2:F131='Feature List'!B17)*('Benchmarking Data'!C2:C131='Competitor List'!A5), 0))</f>
        <v>Available</v>
      </c>
      <c r="G17" s="4" t="str">
        <f t="array" ref="G17">INDEX('Benchmarking Data'!H2:H131, MATCH(1, ('Benchmarking Data'!F2:F131='Feature List'!B17)*('Benchmarking Data'!C2:C131='Competitor List'!A6), 0))</f>
        <v>Available</v>
      </c>
      <c r="H17" s="4">
        <f>AVERAGEIF('Benchmarking Data'!F2:F131, 'Feature List'!B17, 'Benchmarking Data'!J2:J131)</f>
        <v>7.4</v>
      </c>
      <c r="I17" s="4">
        <f>'Feature List'!C17</f>
        <v>7</v>
      </c>
      <c r="J17" s="4" t="str">
        <f>VLOOKUP('Feature List'!B17, 'Gap Analysis'!A2:F26, 4, FALSE)</f>
        <v>Gap</v>
      </c>
      <c r="K17" s="4" t="str">
        <f>VLOOKUP('Feature List'!B17, 'Gap Analysis'!A2:F26, 6, FALSE)</f>
        <v>High</v>
      </c>
      <c r="L17" s="4" t="str">
        <f t="array" ref="L17">INDEX('Benchmarking Data'!AB2:AB131, MATCH('Feature List'!B17, 'Benchmarking Data'!F2:F131, 0))</f>
        <v>Promote &amp; Monetize</v>
      </c>
    </row>
    <row r="18" spans="1:12" ht="14.5">
      <c r="A18" s="4" t="str">
        <f>'Feature List'!B18</f>
        <v>Role-Based Access Control (RBAC)</v>
      </c>
      <c r="B18" s="4" t="str">
        <f t="array" ref="B18">INDEX('Benchmarking Data'!G2:G131, MATCH('Feature List'!B18, 'Benchmarking Data'!F2:F131, 0))</f>
        <v>Available</v>
      </c>
      <c r="C18" s="4" t="str">
        <f t="array" ref="C18">INDEX('Benchmarking Data'!H2:H131, MATCH(1, ('Benchmarking Data'!F2:F131='Feature List'!B18)*('Benchmarking Data'!C2:C131='Competitor List'!A2), 0))</f>
        <v>Not Available</v>
      </c>
      <c r="D18" s="4" t="str">
        <f t="array" ref="D18">INDEX('Benchmarking Data'!H2:H131, MATCH(1, ('Benchmarking Data'!F2:F131='Feature List'!B18)*('Benchmarking Data'!C2:C131='Competitor List'!A3), 0))</f>
        <v>Partial</v>
      </c>
      <c r="E18" s="4" t="str">
        <f t="array" ref="E18">INDEX('Benchmarking Data'!H2:H131, MATCH(1, ('Benchmarking Data'!F2:F131='Feature List'!B18)*('Benchmarking Data'!C2:C131='Competitor List'!A4), 0))</f>
        <v>Partial</v>
      </c>
      <c r="F18" s="4" t="str">
        <f t="array" ref="F18">INDEX('Benchmarking Data'!H2:H131, MATCH(1, ('Benchmarking Data'!F2:F131='Feature List'!B18)*('Benchmarking Data'!C2:C131='Competitor List'!A5), 0))</f>
        <v>Partial</v>
      </c>
      <c r="G18" s="4" t="str">
        <f t="array" ref="G18">INDEX('Benchmarking Data'!H2:H131, MATCH(1, ('Benchmarking Data'!F2:F131='Feature List'!B18)*('Benchmarking Data'!C2:C131='Competitor List'!A6), 0))</f>
        <v>Partial</v>
      </c>
      <c r="H18" s="4">
        <f>AVERAGEIF('Benchmarking Data'!F2:F131, 'Feature List'!B18, 'Benchmarking Data'!J2:J131)</f>
        <v>8.1999999999999993</v>
      </c>
      <c r="I18" s="4">
        <f>'Feature List'!C18</f>
        <v>10</v>
      </c>
      <c r="J18" s="4" t="str">
        <f>VLOOKUP('Feature List'!B18, 'Gap Analysis'!A2:F26, 4, FALSE)</f>
        <v>No Gap</v>
      </c>
      <c r="K18" s="4" t="str">
        <f>VLOOKUP('Feature List'!B18, 'Gap Analysis'!A2:F26, 6, FALSE)</f>
        <v>Low</v>
      </c>
      <c r="L18" s="4" t="str">
        <f t="array" ref="L18">INDEX('Benchmarking Data'!AB2:AB131, MATCH('Feature List'!B18, 'Benchmarking Data'!F2:F131, 0))</f>
        <v>Promote &amp; Monetize</v>
      </c>
    </row>
    <row r="19" spans="1:12" ht="14.5">
      <c r="A19" s="4" t="str">
        <f>'Feature List'!B19</f>
        <v>SOC2 Type II Compliance</v>
      </c>
      <c r="B19" s="4" t="str">
        <f t="array" ref="B19">INDEX('Benchmarking Data'!G2:G131, MATCH('Feature List'!B19, 'Benchmarking Data'!F2:F131, 0))</f>
        <v>Available</v>
      </c>
      <c r="C19" s="4" t="str">
        <f t="array" ref="C19">INDEX('Benchmarking Data'!H2:H131, MATCH(1, ('Benchmarking Data'!F2:F131='Feature List'!B19)*('Benchmarking Data'!C2:C131='Competitor List'!A2), 0))</f>
        <v>Available</v>
      </c>
      <c r="D19" s="4" t="str">
        <f t="array" ref="D19">INDEX('Benchmarking Data'!H2:H131, MATCH(1, ('Benchmarking Data'!F2:F131='Feature List'!B19)*('Benchmarking Data'!C2:C131='Competitor List'!A3), 0))</f>
        <v>Not Available</v>
      </c>
      <c r="E19" s="4" t="str">
        <f t="array" ref="E19">INDEX('Benchmarking Data'!H2:H131, MATCH(1, ('Benchmarking Data'!F2:F131='Feature List'!B19)*('Benchmarking Data'!C2:C131='Competitor List'!A4), 0))</f>
        <v>Partial</v>
      </c>
      <c r="F19" s="4" t="str">
        <f t="array" ref="F19">INDEX('Benchmarking Data'!H2:H131, MATCH(1, ('Benchmarking Data'!F2:F131='Feature List'!B19)*('Benchmarking Data'!C2:C131='Competitor List'!A5), 0))</f>
        <v>Not Available</v>
      </c>
      <c r="G19" s="4" t="str">
        <f t="array" ref="G19">INDEX('Benchmarking Data'!H2:H131, MATCH(1, ('Benchmarking Data'!F2:F131='Feature List'!B19)*('Benchmarking Data'!C2:C131='Competitor List'!A6), 0))</f>
        <v>Partial</v>
      </c>
      <c r="H19" s="4">
        <f>AVERAGEIF('Benchmarking Data'!F2:F131, 'Feature List'!B19, 'Benchmarking Data'!J2:J131)</f>
        <v>6.2</v>
      </c>
      <c r="I19" s="4">
        <f>'Feature List'!C19</f>
        <v>10</v>
      </c>
      <c r="J19" s="4" t="str">
        <f>VLOOKUP('Feature List'!B19, 'Gap Analysis'!A2:F26, 4, FALSE)</f>
        <v>Gap</v>
      </c>
      <c r="K19" s="4" t="str">
        <f>VLOOKUP('Feature List'!B19, 'Gap Analysis'!A2:F26, 6, FALSE)</f>
        <v>High</v>
      </c>
      <c r="L19" s="4" t="str">
        <f t="array" ref="L19">INDEX('Benchmarking Data'!AB2:AB131, MATCH('Feature List'!B19, 'Benchmarking Data'!F2:F131, 0))</f>
        <v>Monitor Market</v>
      </c>
    </row>
    <row r="20" spans="1:12" ht="14.5">
      <c r="A20" s="4" t="str">
        <f>'Feature List'!B20</f>
        <v>Single Sign-On (SSO / SAML)</v>
      </c>
      <c r="B20" s="4" t="str">
        <f t="array" ref="B20">INDEX('Benchmarking Data'!G2:G131, MATCH('Feature List'!B20, 'Benchmarking Data'!F2:F131, 0))</f>
        <v>Available</v>
      </c>
      <c r="C20" s="4" t="str">
        <f t="array" ref="C20">INDEX('Benchmarking Data'!H2:H131, MATCH(1, ('Benchmarking Data'!F2:F131='Feature List'!B20)*('Benchmarking Data'!C2:C131='Competitor List'!A2), 0))</f>
        <v>Available</v>
      </c>
      <c r="D20" s="4" t="str">
        <f t="array" ref="D20">INDEX('Benchmarking Data'!H2:H131, MATCH(1, ('Benchmarking Data'!F2:F131='Feature List'!B20)*('Benchmarking Data'!C2:C131='Competitor List'!A3), 0))</f>
        <v>Not Available</v>
      </c>
      <c r="E20" s="4" t="str">
        <f t="array" ref="E20">INDEX('Benchmarking Data'!H2:H131, MATCH(1, ('Benchmarking Data'!F2:F131='Feature List'!B20)*('Benchmarking Data'!C2:C131='Competitor List'!A4), 0))</f>
        <v>Partial</v>
      </c>
      <c r="F20" s="4" t="str">
        <f t="array" ref="F20">INDEX('Benchmarking Data'!H2:H131, MATCH(1, ('Benchmarking Data'!F2:F131='Feature List'!B20)*('Benchmarking Data'!C2:C131='Competitor List'!A5), 0))</f>
        <v>Not Available</v>
      </c>
      <c r="G20" s="4" t="str">
        <f t="array" ref="G20">INDEX('Benchmarking Data'!H2:H131, MATCH(1, ('Benchmarking Data'!F2:F131='Feature List'!B20)*('Benchmarking Data'!C2:C131='Competitor List'!A6), 0))</f>
        <v>Not Available</v>
      </c>
      <c r="H20" s="4">
        <f>AVERAGEIF('Benchmarking Data'!F2:F131, 'Feature List'!B20, 'Benchmarking Data'!J2:J131)</f>
        <v>7.4</v>
      </c>
      <c r="I20" s="4">
        <f>'Feature List'!C20</f>
        <v>6</v>
      </c>
      <c r="J20" s="4" t="str">
        <f>VLOOKUP('Feature List'!B20, 'Gap Analysis'!A2:F26, 4, FALSE)</f>
        <v>Gap</v>
      </c>
      <c r="K20" s="4" t="str">
        <f>VLOOKUP('Feature List'!B20, 'Gap Analysis'!A2:F26, 6, FALSE)</f>
        <v>High</v>
      </c>
      <c r="L20" s="4" t="str">
        <f t="array" ref="L20">INDEX('Benchmarking Data'!AB2:AB131, MATCH('Feature List'!B20, 'Benchmarking Data'!F2:F131, 0))</f>
        <v>Monitor Market</v>
      </c>
    </row>
    <row r="21" spans="1:12" ht="15.75" customHeight="1">
      <c r="A21" s="4" t="str">
        <f>'Feature List'!B21</f>
        <v>Data Masking &amp; Encryption at Rest</v>
      </c>
      <c r="B21" s="4" t="str">
        <f t="array" ref="B21">INDEX('Benchmarking Data'!G2:G131, MATCH('Feature List'!B21, 'Benchmarking Data'!F2:F131, 0))</f>
        <v>Partial</v>
      </c>
      <c r="C21" s="4" t="str">
        <f t="array" ref="C21">INDEX('Benchmarking Data'!H2:H131, MATCH(1, ('Benchmarking Data'!F2:F131='Feature List'!B21)*('Benchmarking Data'!C2:C131='Competitor List'!A2), 0))</f>
        <v>Available</v>
      </c>
      <c r="D21" s="4" t="str">
        <f t="array" ref="D21">INDEX('Benchmarking Data'!H2:H131, MATCH(1, ('Benchmarking Data'!F2:F131='Feature List'!B21)*('Benchmarking Data'!C2:C131='Competitor List'!A3), 0))</f>
        <v>Not Available</v>
      </c>
      <c r="E21" s="4" t="str">
        <f t="array" ref="E21">INDEX('Benchmarking Data'!H2:H131, MATCH(1, ('Benchmarking Data'!F2:F131='Feature List'!B21)*('Benchmarking Data'!C2:C131='Competitor List'!A4), 0))</f>
        <v>Partial</v>
      </c>
      <c r="F21" s="4" t="str">
        <f t="array" ref="F21">INDEX('Benchmarking Data'!H2:H131, MATCH(1, ('Benchmarking Data'!F2:F131='Feature List'!B21)*('Benchmarking Data'!C2:C131='Competitor List'!A5), 0))</f>
        <v>Not Available</v>
      </c>
      <c r="G21" s="4" t="str">
        <f t="array" ref="G21">INDEX('Benchmarking Data'!H2:H131, MATCH(1, ('Benchmarking Data'!F2:F131='Feature List'!B21)*('Benchmarking Data'!C2:C131='Competitor List'!A6), 0))</f>
        <v>Not Available</v>
      </c>
      <c r="H21" s="4">
        <f>AVERAGEIF('Benchmarking Data'!F2:F131, 'Feature List'!B21, 'Benchmarking Data'!J2:J131)</f>
        <v>6.8</v>
      </c>
      <c r="I21" s="4">
        <f>'Feature List'!C21</f>
        <v>10</v>
      </c>
      <c r="J21" s="4" t="str">
        <f>VLOOKUP('Feature List'!B21, 'Gap Analysis'!A2:F26, 4, FALSE)</f>
        <v>Gap</v>
      </c>
      <c r="K21" s="4" t="str">
        <f>VLOOKUP('Feature List'!B21, 'Gap Analysis'!A2:F26, 6, FALSE)</f>
        <v>Medium</v>
      </c>
      <c r="L21" s="4" t="str">
        <f t="array" ref="L21">INDEX('Benchmarking Data'!AB2:AB131, MATCH('Feature List'!B21, 'Benchmarking Data'!F2:F131, 0))</f>
        <v>Enhance Capability</v>
      </c>
    </row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="120" zoomScaleNormal="30" workbookViewId="0">
      <selection activeCell="A11" sqref="A11"/>
    </sheetView>
  </sheetViews>
  <sheetFormatPr defaultColWidth="12.6328125" defaultRowHeight="15" customHeight="1"/>
  <cols>
    <col min="1" max="1" width="29" customWidth="1"/>
    <col min="2" max="2" width="16.6328125" customWidth="1"/>
    <col min="3" max="3" width="13.54296875" customWidth="1"/>
    <col min="4" max="4" width="17.08984375" customWidth="1"/>
    <col min="5" max="5" width="21.90625" customWidth="1"/>
    <col min="6" max="6" width="19.36328125" customWidth="1"/>
    <col min="7" max="7" width="17" customWidth="1"/>
  </cols>
  <sheetData>
    <row r="1" spans="1:7" ht="14.5">
      <c r="A1" s="16" t="s">
        <v>5</v>
      </c>
      <c r="B1" s="16" t="s">
        <v>278</v>
      </c>
      <c r="C1" s="16" t="s">
        <v>282</v>
      </c>
      <c r="D1" s="16" t="s">
        <v>283</v>
      </c>
      <c r="E1" s="16" t="s">
        <v>284</v>
      </c>
      <c r="F1" s="16" t="s">
        <v>286</v>
      </c>
      <c r="G1" s="16" t="s">
        <v>287</v>
      </c>
    </row>
    <row r="2" spans="1:7" ht="14.5">
      <c r="A2" s="1" t="str">
        <f>'Feature List'!B2</f>
        <v>Real-Time Data Streaming</v>
      </c>
      <c r="B2" s="1">
        <f>AVERAGEIF('Benchmarking Data'!F2:F131, 'Feature List'!B2, 'Benchmarking Data'!J2:J131)</f>
        <v>5.8</v>
      </c>
      <c r="C2" s="1">
        <f>'Feature List'!C2</f>
        <v>6</v>
      </c>
      <c r="D2" s="1">
        <f>AVERAGEIF('Benchmarking Data'!F2:F131, 'Feature List'!B2, 'Benchmarking Data'!X2:X131)</f>
        <v>0</v>
      </c>
      <c r="E2" s="1" t="s">
        <v>86</v>
      </c>
      <c r="F2" s="1" t="s">
        <v>86</v>
      </c>
      <c r="G2" s="1" t="s">
        <v>86</v>
      </c>
    </row>
    <row r="3" spans="1:7" ht="14.5">
      <c r="A3" s="1" t="str">
        <f>'Feature List'!B3</f>
        <v>Custom Dashboard Builder</v>
      </c>
      <c r="B3" s="1">
        <f>AVERAGEIF('Benchmarking Data'!F2:F131, 'Feature List'!B3, 'Benchmarking Data'!J2:J131)</f>
        <v>5.8</v>
      </c>
      <c r="C3" s="1">
        <f>'Feature List'!C3</f>
        <v>6</v>
      </c>
      <c r="D3" s="1">
        <f>AVERAGEIF('Benchmarking Data'!F2:F131, 'Feature List'!B3, 'Benchmarking Data'!X2:X131)</f>
        <v>0</v>
      </c>
      <c r="E3" s="1" t="s">
        <v>86</v>
      </c>
      <c r="F3" s="1" t="s">
        <v>86</v>
      </c>
      <c r="G3" s="1" t="s">
        <v>86</v>
      </c>
    </row>
    <row r="4" spans="1:7" ht="14.5">
      <c r="A4" s="1" t="str">
        <f>'Feature List'!B4</f>
        <v>Ad-Hoc Query Engine</v>
      </c>
      <c r="B4" s="1">
        <f>AVERAGEIF('Benchmarking Data'!F2:F131, 'Feature List'!B4, 'Benchmarking Data'!J2:J131)</f>
        <v>7.2</v>
      </c>
      <c r="C4" s="1">
        <f>'Feature List'!C4</f>
        <v>8</v>
      </c>
      <c r="D4" s="1">
        <f>AVERAGEIF('Benchmarking Data'!F2:F131, 'Feature List'!B4, 'Benchmarking Data'!X2:X131)</f>
        <v>0</v>
      </c>
      <c r="E4" s="1" t="s">
        <v>86</v>
      </c>
      <c r="F4" s="1" t="s">
        <v>86</v>
      </c>
      <c r="G4" s="1" t="s">
        <v>86</v>
      </c>
    </row>
    <row r="5" spans="1:7" ht="14.5">
      <c r="A5" s="1" t="str">
        <f>'Feature List'!B5</f>
        <v>Automated PDF Reporting</v>
      </c>
      <c r="B5" s="1">
        <f>AVERAGEIF('Benchmarking Data'!F2:F131, 'Feature List'!B5, 'Benchmarking Data'!J2:J131)</f>
        <v>8.6</v>
      </c>
      <c r="C5" s="1">
        <f>'Feature List'!C5</f>
        <v>7</v>
      </c>
      <c r="D5" s="1">
        <f>AVERAGEIF('Benchmarking Data'!F2:F131, 'Feature List'!B5, 'Benchmarking Data'!X2:X131)</f>
        <v>0</v>
      </c>
      <c r="E5" s="1" t="s">
        <v>37</v>
      </c>
      <c r="F5" s="1" t="s">
        <v>300</v>
      </c>
      <c r="G5" s="1" t="s">
        <v>86</v>
      </c>
    </row>
    <row r="6" spans="1:7" ht="14.5">
      <c r="A6" s="1" t="str">
        <f>'Feature List'!B6</f>
        <v>Data Export (CSV/XLSX/JSON)</v>
      </c>
      <c r="B6" s="1">
        <f>AVERAGEIF('Benchmarking Data'!F2:F131, 'Feature List'!B6, 'Benchmarking Data'!J2:J131)</f>
        <v>7.6</v>
      </c>
      <c r="C6" s="1">
        <f>'Feature List'!C6</f>
        <v>7</v>
      </c>
      <c r="D6" s="1">
        <f>AVERAGEIF('Benchmarking Data'!F2:F131, 'Feature List'!B6, 'Benchmarking Data'!X2:X131)</f>
        <v>0</v>
      </c>
      <c r="E6" s="1" t="s">
        <v>300</v>
      </c>
      <c r="F6" s="1" t="s">
        <v>37</v>
      </c>
      <c r="G6" s="1" t="s">
        <v>300</v>
      </c>
    </row>
    <row r="7" spans="1:7" ht="14.5">
      <c r="A7" s="1" t="str">
        <f>'Feature List'!B7</f>
        <v>Interactive Drill-Downs</v>
      </c>
      <c r="B7" s="1">
        <f>AVERAGEIF('Benchmarking Data'!F2:F131, 'Feature List'!B7, 'Benchmarking Data'!J2:J131)</f>
        <v>7.8</v>
      </c>
      <c r="C7" s="1">
        <f>'Feature List'!C7</f>
        <v>7</v>
      </c>
      <c r="D7" s="1">
        <f>AVERAGEIF('Benchmarking Data'!F2:F131, 'Feature List'!B7, 'Benchmarking Data'!X2:X131)</f>
        <v>0</v>
      </c>
      <c r="E7" s="1" t="s">
        <v>300</v>
      </c>
      <c r="F7" s="1" t="s">
        <v>86</v>
      </c>
      <c r="G7" s="1" t="s">
        <v>300</v>
      </c>
    </row>
    <row r="8" spans="1:7" ht="14.5">
      <c r="A8" s="1" t="str">
        <f>'Feature List'!B8</f>
        <v>Predictive Anomaly Detection</v>
      </c>
      <c r="B8" s="1">
        <f>AVERAGEIF('Benchmarking Data'!F2:F131, 'Feature List'!B8, 'Benchmarking Data'!J2:J131)</f>
        <v>5.8</v>
      </c>
      <c r="C8" s="1">
        <f>'Feature List'!C8</f>
        <v>6</v>
      </c>
      <c r="D8" s="1">
        <f>AVERAGEIF('Benchmarking Data'!F2:F131, 'Feature List'!B8, 'Benchmarking Data'!X2:X131)</f>
        <v>0</v>
      </c>
      <c r="E8" s="1" t="s">
        <v>300</v>
      </c>
      <c r="F8" s="1" t="s">
        <v>300</v>
      </c>
      <c r="G8" s="1" t="s">
        <v>86</v>
      </c>
    </row>
    <row r="9" spans="1:7" ht="14.5">
      <c r="A9" s="1" t="str">
        <f>'Feature List'!B9</f>
        <v>Automated Insight Generation</v>
      </c>
      <c r="B9" s="1">
        <f>AVERAGEIF('Benchmarking Data'!F2:F131, 'Feature List'!B9, 'Benchmarking Data'!J2:J131)</f>
        <v>8.8000000000000007</v>
      </c>
      <c r="C9" s="1">
        <f>'Feature List'!C9</f>
        <v>10</v>
      </c>
      <c r="D9" s="1">
        <f>AVERAGEIF('Benchmarking Data'!F2:F131, 'Feature List'!B9, 'Benchmarking Data'!X2:X131)</f>
        <v>0</v>
      </c>
      <c r="E9" s="1" t="s">
        <v>86</v>
      </c>
      <c r="F9" s="1" t="s">
        <v>300</v>
      </c>
      <c r="G9" s="1" t="s">
        <v>300</v>
      </c>
    </row>
    <row r="10" spans="1:7" ht="14.5">
      <c r="A10" s="1" t="str">
        <f>'Feature List'!B10</f>
        <v>Natural Language Querying (NLQ)</v>
      </c>
      <c r="B10" s="1">
        <f>AVERAGEIF('Benchmarking Data'!F2:F131, 'Feature List'!B10, 'Benchmarking Data'!J2:J131)</f>
        <v>7</v>
      </c>
      <c r="C10" s="1">
        <f>'Feature List'!C10</f>
        <v>6</v>
      </c>
      <c r="D10" s="1">
        <f>AVERAGEIF('Benchmarking Data'!F2:F131, 'Feature List'!B10, 'Benchmarking Data'!X2:X131)</f>
        <v>0.9</v>
      </c>
      <c r="E10" s="1" t="s">
        <v>86</v>
      </c>
      <c r="F10" s="1" t="s">
        <v>86</v>
      </c>
      <c r="G10" s="1" t="s">
        <v>86</v>
      </c>
    </row>
    <row r="11" spans="1:7" ht="14.5">
      <c r="A11" s="1" t="str">
        <f>'Feature List'!B11</f>
        <v>Forecasting &amp; Trend Projection</v>
      </c>
      <c r="B11" s="1">
        <f>AVERAGEIF('Benchmarking Data'!F2:F131, 'Feature List'!B11, 'Benchmarking Data'!J2:J131)</f>
        <v>7.8</v>
      </c>
      <c r="C11" s="1">
        <f>'Feature List'!C11</f>
        <v>10</v>
      </c>
      <c r="D11" s="1">
        <f>AVERAGEIF('Benchmarking Data'!F2:F131, 'Feature List'!B11, 'Benchmarking Data'!X2:X131)</f>
        <v>0</v>
      </c>
      <c r="E11" s="1" t="s">
        <v>86</v>
      </c>
      <c r="F11" s="1" t="s">
        <v>86</v>
      </c>
      <c r="G11" s="1" t="s">
        <v>86</v>
      </c>
    </row>
    <row r="12" spans="1:7" ht="14.5">
      <c r="A12" s="1" t="str">
        <f>'Feature List'!B12</f>
        <v>Smart Alerting &amp; Triggers</v>
      </c>
      <c r="B12" s="1">
        <f>AVERAGEIF('Benchmarking Data'!F2:F131, 'Feature List'!B12, 'Benchmarking Data'!J2:J131)</f>
        <v>6.8</v>
      </c>
      <c r="C12" s="1">
        <f>'Feature List'!C12</f>
        <v>9</v>
      </c>
      <c r="D12" s="1">
        <f>AVERAGEIF('Benchmarking Data'!F2:F131, 'Feature List'!B12, 'Benchmarking Data'!X2:X131)</f>
        <v>0</v>
      </c>
      <c r="E12" s="1" t="s">
        <v>300</v>
      </c>
      <c r="F12" s="1" t="s">
        <v>86</v>
      </c>
      <c r="G12" s="1" t="s">
        <v>300</v>
      </c>
    </row>
    <row r="13" spans="1:7" ht="14.5">
      <c r="A13" s="1" t="str">
        <f>'Feature List'!B13</f>
        <v>REST API &amp; Webhooks</v>
      </c>
      <c r="B13" s="1">
        <f>AVERAGEIF('Benchmarking Data'!F2:F131, 'Feature List'!B13, 'Benchmarking Data'!J2:J131)</f>
        <v>7.2</v>
      </c>
      <c r="C13" s="1">
        <f>'Feature List'!C13</f>
        <v>6</v>
      </c>
      <c r="D13" s="1">
        <f>AVERAGEIF('Benchmarking Data'!F2:F131, 'Feature List'!B13, 'Benchmarking Data'!X2:X131)</f>
        <v>0</v>
      </c>
      <c r="E13" s="1" t="s">
        <v>37</v>
      </c>
      <c r="F13" s="1" t="s">
        <v>300</v>
      </c>
      <c r="G13" s="1" t="s">
        <v>300</v>
      </c>
    </row>
    <row r="14" spans="1:7" ht="14.5">
      <c r="A14" s="1" t="str">
        <f>'Feature List'!B14</f>
        <v>Pre-built Salesforce Connector</v>
      </c>
      <c r="B14" s="1">
        <f>AVERAGEIF('Benchmarking Data'!F2:F131, 'Feature List'!B14, 'Benchmarking Data'!J2:J131)</f>
        <v>7.6</v>
      </c>
      <c r="C14" s="1">
        <f>'Feature List'!C14</f>
        <v>6</v>
      </c>
      <c r="D14" s="1">
        <f>AVERAGEIF('Benchmarking Data'!F2:F131, 'Feature List'!B14, 'Benchmarking Data'!X2:X131)</f>
        <v>0</v>
      </c>
      <c r="E14" s="1" t="s">
        <v>86</v>
      </c>
      <c r="F14" s="1" t="s">
        <v>86</v>
      </c>
      <c r="G14" s="1" t="s">
        <v>86</v>
      </c>
    </row>
    <row r="15" spans="1:7" ht="14.5">
      <c r="A15" s="1" t="str">
        <f>'Feature List'!B15</f>
        <v>Snowflake &amp; BigQuery Sync</v>
      </c>
      <c r="B15" s="1">
        <f>AVERAGEIF('Benchmarking Data'!F2:F131, 'Feature List'!B15, 'Benchmarking Data'!J2:J131)</f>
        <v>7.2</v>
      </c>
      <c r="C15" s="1">
        <f>'Feature List'!C15</f>
        <v>6</v>
      </c>
      <c r="D15" s="1">
        <f>AVERAGEIF('Benchmarking Data'!F2:F131, 'Feature List'!B15, 'Benchmarking Data'!X2:X131)</f>
        <v>0</v>
      </c>
      <c r="E15" s="1" t="s">
        <v>86</v>
      </c>
      <c r="F15" s="1" t="s">
        <v>86</v>
      </c>
      <c r="G15" s="1" t="s">
        <v>300</v>
      </c>
    </row>
    <row r="16" spans="1:7" ht="14.5">
      <c r="A16" s="1" t="str">
        <f>'Feature List'!B16</f>
        <v>Zapier &amp; Make Integration</v>
      </c>
      <c r="B16" s="1">
        <f>AVERAGEIF('Benchmarking Data'!F2:F131, 'Feature List'!B16, 'Benchmarking Data'!J2:J131)</f>
        <v>7.8</v>
      </c>
      <c r="C16" s="1">
        <f>'Feature List'!C16</f>
        <v>7</v>
      </c>
      <c r="D16" s="1">
        <f>AVERAGEIF('Benchmarking Data'!F2:F131, 'Feature List'!B16, 'Benchmarking Data'!X2:X131)</f>
        <v>0</v>
      </c>
      <c r="E16" s="1" t="s">
        <v>86</v>
      </c>
      <c r="F16" s="1" t="s">
        <v>86</v>
      </c>
      <c r="G16" s="1" t="s">
        <v>300</v>
      </c>
    </row>
    <row r="17" spans="1:7" ht="14.5">
      <c r="A17" s="1" t="str">
        <f>'Feature List'!B17</f>
        <v>Custom ETL Scripting Support</v>
      </c>
      <c r="B17" s="1">
        <f>AVERAGEIF('Benchmarking Data'!F2:F131, 'Feature List'!B17, 'Benchmarking Data'!J2:J131)</f>
        <v>7.4</v>
      </c>
      <c r="C17" s="1">
        <f>'Feature List'!C17</f>
        <v>7</v>
      </c>
      <c r="D17" s="1">
        <f>AVERAGEIF('Benchmarking Data'!F2:F131, 'Feature List'!B17, 'Benchmarking Data'!X2:X131)</f>
        <v>1.05</v>
      </c>
      <c r="E17" s="1" t="s">
        <v>300</v>
      </c>
      <c r="F17" s="1" t="s">
        <v>300</v>
      </c>
      <c r="G17" s="1" t="s">
        <v>300</v>
      </c>
    </row>
    <row r="18" spans="1:7" ht="14.5">
      <c r="A18" s="1" t="str">
        <f>'Feature List'!B18</f>
        <v>Role-Based Access Control (RBAC)</v>
      </c>
      <c r="B18" s="1">
        <f>AVERAGEIF('Benchmarking Data'!F2:F131, 'Feature List'!B18, 'Benchmarking Data'!J2:J131)</f>
        <v>8.1999999999999993</v>
      </c>
      <c r="C18" s="1">
        <f>'Feature List'!C18</f>
        <v>10</v>
      </c>
      <c r="D18" s="1">
        <f>AVERAGEIF('Benchmarking Data'!F2:F131, 'Feature List'!B18, 'Benchmarking Data'!X2:X131)</f>
        <v>0</v>
      </c>
      <c r="E18" s="1" t="s">
        <v>86</v>
      </c>
      <c r="F18" s="1" t="s">
        <v>300</v>
      </c>
      <c r="G18" s="1" t="s">
        <v>300</v>
      </c>
    </row>
    <row r="19" spans="1:7" ht="14.5">
      <c r="A19" s="1" t="str">
        <f>'Feature List'!B19</f>
        <v>SOC2 Type II Compliance</v>
      </c>
      <c r="B19" s="1">
        <f>AVERAGEIF('Benchmarking Data'!F2:F131, 'Feature List'!B19, 'Benchmarking Data'!J2:J131)</f>
        <v>6.2</v>
      </c>
      <c r="C19" s="1">
        <f>'Feature List'!C19</f>
        <v>10</v>
      </c>
      <c r="D19" s="1">
        <f>AVERAGEIF('Benchmarking Data'!F2:F131, 'Feature List'!B19, 'Benchmarking Data'!X2:X131)</f>
        <v>0</v>
      </c>
      <c r="E19" s="1" t="s">
        <v>86</v>
      </c>
      <c r="F19" s="1" t="s">
        <v>300</v>
      </c>
      <c r="G19" s="1" t="s">
        <v>300</v>
      </c>
    </row>
    <row r="20" spans="1:7" ht="14.5">
      <c r="A20" s="1" t="str">
        <f>'Feature List'!B20</f>
        <v>Single Sign-On (SSO / SAML)</v>
      </c>
      <c r="B20" s="1">
        <f>AVERAGEIF('Benchmarking Data'!F2:F131, 'Feature List'!B20, 'Benchmarking Data'!J2:J131)</f>
        <v>7.4</v>
      </c>
      <c r="C20" s="1">
        <f>'Feature List'!C20</f>
        <v>6</v>
      </c>
      <c r="D20" s="1">
        <f>AVERAGEIF('Benchmarking Data'!F2:F131, 'Feature List'!B20, 'Benchmarking Data'!X2:X131)</f>
        <v>0</v>
      </c>
      <c r="E20" s="1" t="s">
        <v>300</v>
      </c>
      <c r="F20" s="1" t="s">
        <v>300</v>
      </c>
      <c r="G20" s="1" t="s">
        <v>86</v>
      </c>
    </row>
    <row r="21" spans="1:7" ht="15.75" customHeight="1">
      <c r="A21" s="1" t="str">
        <f>'Feature List'!B21</f>
        <v>Data Masking &amp; Encryption at Rest</v>
      </c>
      <c r="B21" s="1">
        <f>AVERAGEIF('Benchmarking Data'!F2:F131, 'Feature List'!B21, 'Benchmarking Data'!J2:J131)</f>
        <v>6.8</v>
      </c>
      <c r="C21" s="1">
        <f>'Feature List'!C21</f>
        <v>10</v>
      </c>
      <c r="D21" s="1">
        <f>AVERAGEIF('Benchmarking Data'!F2:F131, 'Feature List'!B21, 'Benchmarking Data'!X2:X131)</f>
        <v>1.5</v>
      </c>
      <c r="E21" s="1" t="s">
        <v>86</v>
      </c>
      <c r="F21" s="1" t="s">
        <v>300</v>
      </c>
      <c r="G21" s="1" t="s">
        <v>86</v>
      </c>
    </row>
    <row r="22" spans="1:7" ht="15.75" customHeight="1">
      <c r="A22" s="1" t="str">
        <f>'Feature List'!B22</f>
        <v>Audit Logging &amp; Activity Trails</v>
      </c>
      <c r="B22" s="1">
        <f>AVERAGEIF('Benchmarking Data'!F2:F131, 'Feature List'!B22, 'Benchmarking Data'!J2:J131)</f>
        <v>6.8</v>
      </c>
      <c r="C22" s="1">
        <f>'Feature List'!C22</f>
        <v>7</v>
      </c>
      <c r="D22" s="1">
        <f>AVERAGEIF('Benchmarking Data'!F2:F131, 'Feature List'!B22, 'Benchmarking Data'!X2:X131)</f>
        <v>2.1</v>
      </c>
      <c r="E22" s="1" t="s">
        <v>86</v>
      </c>
      <c r="F22" s="1" t="s">
        <v>86</v>
      </c>
      <c r="G22" s="1" t="s">
        <v>86</v>
      </c>
    </row>
    <row r="23" spans="1:7" ht="15.75" customHeight="1">
      <c r="A23" s="1" t="str">
        <f>'Feature List'!B23</f>
        <v>Native iOS &amp; Android App</v>
      </c>
      <c r="B23" s="1">
        <f>AVERAGEIF('Benchmarking Data'!F2:F131, 'Feature List'!B23, 'Benchmarking Data'!J2:J131)</f>
        <v>8.8000000000000007</v>
      </c>
      <c r="C23" s="1">
        <f>'Feature List'!C23</f>
        <v>10</v>
      </c>
      <c r="D23" s="1">
        <f>AVERAGEIF('Benchmarking Data'!F2:F131, 'Feature List'!B23, 'Benchmarking Data'!X2:X131)</f>
        <v>0</v>
      </c>
      <c r="E23" s="1" t="s">
        <v>86</v>
      </c>
      <c r="F23" s="1" t="s">
        <v>86</v>
      </c>
      <c r="G23" s="1" t="s">
        <v>86</v>
      </c>
    </row>
    <row r="24" spans="1:7" ht="15.75" customHeight="1">
      <c r="A24" s="1" t="str">
        <f>'Feature List'!B24</f>
        <v>Dark Mode / Custom Themes</v>
      </c>
      <c r="B24" s="1">
        <f>AVERAGEIF('Benchmarking Data'!F2:F131, 'Feature List'!B24, 'Benchmarking Data'!J2:J131)</f>
        <v>6.6</v>
      </c>
      <c r="C24" s="1">
        <f>'Feature List'!C24</f>
        <v>9</v>
      </c>
      <c r="D24" s="1">
        <f>AVERAGEIF('Benchmarking Data'!F2:F131, 'Feature List'!B24, 'Benchmarking Data'!X2:X131)</f>
        <v>1.35</v>
      </c>
      <c r="E24" s="1" t="s">
        <v>86</v>
      </c>
      <c r="F24" s="1" t="s">
        <v>86</v>
      </c>
      <c r="G24" s="1" t="s">
        <v>86</v>
      </c>
    </row>
    <row r="25" spans="1:7" ht="15.75" customHeight="1">
      <c r="A25" s="1" t="str">
        <f>'Feature List'!B25</f>
        <v>Collaborative Comments &amp; Tagging</v>
      </c>
      <c r="B25" s="1">
        <f>AVERAGEIF('Benchmarking Data'!F2:F131, 'Feature List'!B25, 'Benchmarking Data'!J2:J131)</f>
        <v>7</v>
      </c>
      <c r="C25" s="1">
        <f>'Feature List'!C25</f>
        <v>7</v>
      </c>
      <c r="D25" s="1">
        <f>AVERAGEIF('Benchmarking Data'!F2:F131, 'Feature List'!B25, 'Benchmarking Data'!X2:X131)</f>
        <v>0</v>
      </c>
      <c r="E25" s="1" t="s">
        <v>300</v>
      </c>
      <c r="F25" s="1" t="s">
        <v>300</v>
      </c>
      <c r="G25" s="1" t="s">
        <v>300</v>
      </c>
    </row>
    <row r="26" spans="1:7" ht="15.75" customHeight="1">
      <c r="A26" s="1" t="str">
        <f>'Feature List'!B26</f>
        <v>Multi-Language Localization</v>
      </c>
      <c r="B26" s="1">
        <f>AVERAGEIF('Benchmarking Data'!F2:F131, 'Feature List'!B26, 'Benchmarking Data'!J2:J131)</f>
        <v>7.6</v>
      </c>
      <c r="C26" s="1">
        <f>'Feature List'!C26</f>
        <v>9</v>
      </c>
      <c r="D26" s="1">
        <f>AVERAGEIF('Benchmarking Data'!F2:F131, 'Feature List'!B26, 'Benchmarking Data'!X2:X131)</f>
        <v>0</v>
      </c>
      <c r="E26" s="1" t="s">
        <v>86</v>
      </c>
      <c r="F26" s="1" t="s">
        <v>86</v>
      </c>
      <c r="G26" s="1" t="s">
        <v>86</v>
      </c>
    </row>
    <row r="27" spans="1:7" ht="15.75" customHeight="1">
      <c r="A27" s="1" t="str">
        <f>'Feature List'!B27</f>
        <v>Custom White-Labeling</v>
      </c>
      <c r="B27" s="1">
        <f>AVERAGEIF('Benchmarking Data'!F2:F131, 'Feature List'!B27, 'Benchmarking Data'!J2:J131)</f>
        <v>7</v>
      </c>
      <c r="C27" s="1">
        <f>'Feature List'!C27</f>
        <v>10</v>
      </c>
      <c r="D27" s="1">
        <f>AVERAGEIF('Benchmarking Data'!F2:F131, 'Feature List'!B27, 'Benchmarking Data'!X2:X131)</f>
        <v>0</v>
      </c>
      <c r="E27" s="1" t="s">
        <v>37</v>
      </c>
      <c r="F27" s="1" t="s">
        <v>37</v>
      </c>
      <c r="G27" s="1" t="s">
        <v>37</v>
      </c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activeCell="G7" sqref="G7"/>
    </sheetView>
  </sheetViews>
  <sheetFormatPr defaultColWidth="12.6328125" defaultRowHeight="15" customHeight="1"/>
  <cols>
    <col min="1" max="1" width="35.08984375" style="3" customWidth="1"/>
    <col min="2" max="2" width="13.7265625" style="3" customWidth="1"/>
    <col min="3" max="3" width="10.26953125" style="3" customWidth="1"/>
    <col min="4" max="4" width="24.08984375" style="3" customWidth="1"/>
    <col min="5" max="5" width="29.7265625" style="3" customWidth="1"/>
    <col min="6" max="11" width="7.6328125" style="3" customWidth="1"/>
    <col min="12" max="16384" width="12.6328125" style="3"/>
  </cols>
  <sheetData>
    <row r="1" spans="1:5" ht="14.5">
      <c r="A1" s="15" t="s">
        <v>288</v>
      </c>
      <c r="B1" s="15" t="s">
        <v>267</v>
      </c>
      <c r="C1" s="15" t="s">
        <v>281</v>
      </c>
      <c r="D1" s="15" t="s">
        <v>27</v>
      </c>
      <c r="E1" s="15" t="s">
        <v>289</v>
      </c>
    </row>
    <row r="2" spans="1:5" ht="14.5">
      <c r="A2" s="14" t="str">
        <f>'Feature List'!B2</f>
        <v>Real-Time Data Streaming</v>
      </c>
      <c r="B2" s="14" t="str">
        <f>VLOOKUP('Feature List'!B2, 'Gap Analysis'!A2:F26, 5, FALSE)</f>
        <v>Critical</v>
      </c>
      <c r="C2" s="14" t="str">
        <f>VLOOKUP('Feature List'!B2, 'Gap Analysis'!A2:F26, 6, FALSE)</f>
        <v>High</v>
      </c>
      <c r="D2" s="14" t="str">
        <f t="array" ref="D2">INDEX('Benchmarking Data'!AB2:AB131, MATCH('Feature List'!B2, 'Benchmarking Data'!F2:F131, 0))</f>
        <v>Monitor Market</v>
      </c>
      <c r="E2" s="14" t="str">
        <f t="shared" ref="E2:E27" si="0">IF(C2="High", "NOW", IF(C2="Medium", "NEXT", "LATER"))</f>
        <v>NOW</v>
      </c>
    </row>
    <row r="3" spans="1:5" ht="14.5">
      <c r="A3" s="14" t="str">
        <f>'Feature List'!B3</f>
        <v>Custom Dashboard Builder</v>
      </c>
      <c r="B3" s="14" t="str">
        <f>VLOOKUP('Feature List'!B3, 'Gap Analysis'!A2:F26, 5, FALSE)</f>
        <v>Critical</v>
      </c>
      <c r="C3" s="14" t="str">
        <f>VLOOKUP('Feature List'!B3, 'Gap Analysis'!A2:F26, 6, FALSE)</f>
        <v>High</v>
      </c>
      <c r="D3" s="14" t="str">
        <f t="array" ref="D3">INDEX('Benchmarking Data'!AB2:AB131, MATCH('Feature List'!B3, 'Benchmarking Data'!F2:F131, 0))</f>
        <v>Maintain Advantage</v>
      </c>
      <c r="E3" s="14" t="str">
        <f t="shared" si="0"/>
        <v>NOW</v>
      </c>
    </row>
    <row r="4" spans="1:5" ht="14.5">
      <c r="A4" s="14" t="str">
        <f>'Feature List'!B4</f>
        <v>Ad-Hoc Query Engine</v>
      </c>
      <c r="B4" s="14" t="str">
        <f>VLOOKUP('Feature List'!B4, 'Gap Analysis'!A2:F26, 5, FALSE)</f>
        <v>Critical</v>
      </c>
      <c r="C4" s="14" t="str">
        <f>VLOOKUP('Feature List'!B4, 'Gap Analysis'!A2:F26, 6, FALSE)</f>
        <v>High</v>
      </c>
      <c r="D4" s="14" t="str">
        <f t="array" ref="D4">INDEX('Benchmarking Data'!AB2:AB131, MATCH('Feature List'!B4, 'Benchmarking Data'!F2:F131, 0))</f>
        <v>Promote &amp; Monetize</v>
      </c>
      <c r="E4" s="14" t="str">
        <f t="shared" si="0"/>
        <v>NOW</v>
      </c>
    </row>
    <row r="5" spans="1:5" ht="14.5">
      <c r="A5" s="14" t="str">
        <f>'Feature List'!B5</f>
        <v>Automated PDF Reporting</v>
      </c>
      <c r="B5" s="14" t="str">
        <f>VLOOKUP('Feature List'!B5, 'Gap Analysis'!A2:F26, 5, FALSE)</f>
        <v>Critical</v>
      </c>
      <c r="C5" s="14" t="str">
        <f>VLOOKUP('Feature List'!B5, 'Gap Analysis'!A2:F26, 6, FALSE)</f>
        <v>High</v>
      </c>
      <c r="D5" s="14" t="str">
        <f t="array" ref="D5">INDEX('Benchmarking Data'!AB2:AB131, MATCH('Feature List'!B5, 'Benchmarking Data'!F2:F131, 0))</f>
        <v>Monitor Market</v>
      </c>
      <c r="E5" s="14" t="str">
        <f t="shared" si="0"/>
        <v>NOW</v>
      </c>
    </row>
    <row r="6" spans="1:5" ht="14.5">
      <c r="A6" s="14" t="str">
        <f>'Feature List'!B6</f>
        <v>Data Export (CSV/XLSX/JSON)</v>
      </c>
      <c r="B6" s="14" t="str">
        <f>VLOOKUP('Feature List'!B6, 'Gap Analysis'!A2:F26, 5, FALSE)</f>
        <v>Critical</v>
      </c>
      <c r="C6" s="14" t="str">
        <f>VLOOKUP('Feature List'!B6, 'Gap Analysis'!A2:F26, 6, FALSE)</f>
        <v>High</v>
      </c>
      <c r="D6" s="14" t="str">
        <f t="array" ref="D6">INDEX('Benchmarking Data'!AB2:AB131, MATCH('Feature List'!B6, 'Benchmarking Data'!F2:F131, 0))</f>
        <v>Promote &amp; Monetize</v>
      </c>
      <c r="E6" s="14" t="str">
        <f t="shared" si="0"/>
        <v>NOW</v>
      </c>
    </row>
    <row r="7" spans="1:5" ht="14.5">
      <c r="A7" s="14" t="str">
        <f>'Feature List'!B7</f>
        <v>Interactive Drill-Downs</v>
      </c>
      <c r="B7" s="14" t="str">
        <f>VLOOKUP('Feature List'!B7, 'Gap Analysis'!A2:F26, 5, FALSE)</f>
        <v>Critical</v>
      </c>
      <c r="C7" s="14" t="str">
        <f>VLOOKUP('Feature List'!B7, 'Gap Analysis'!A2:F26, 6, FALSE)</f>
        <v>High</v>
      </c>
      <c r="D7" s="14" t="str">
        <f t="array" ref="D7">INDEX('Benchmarking Data'!AB2:AB131, MATCH('Feature List'!B7, 'Benchmarking Data'!F2:F131, 0))</f>
        <v>Maintain Advantage</v>
      </c>
      <c r="E7" s="14" t="str">
        <f t="shared" si="0"/>
        <v>NOW</v>
      </c>
    </row>
    <row r="8" spans="1:5" ht="14.5">
      <c r="A8" s="14" t="str">
        <f>'Feature List'!B8</f>
        <v>Predictive Anomaly Detection</v>
      </c>
      <c r="B8" s="14" t="str">
        <f>VLOOKUP('Feature List'!B8, 'Gap Analysis'!A2:F26, 5, FALSE)</f>
        <v>Critical</v>
      </c>
      <c r="C8" s="14" t="str">
        <f>VLOOKUP('Feature List'!B8, 'Gap Analysis'!A2:F26, 6, FALSE)</f>
        <v>High</v>
      </c>
      <c r="D8" s="14" t="str">
        <f t="array" ref="D8">INDEX('Benchmarking Data'!AB2:AB131, MATCH('Feature List'!B8, 'Benchmarking Data'!F2:F131, 0))</f>
        <v>Monitor Market</v>
      </c>
      <c r="E8" s="14" t="str">
        <f t="shared" si="0"/>
        <v>NOW</v>
      </c>
    </row>
    <row r="9" spans="1:5" ht="14.5">
      <c r="A9" s="14" t="str">
        <f>'Feature List'!B9</f>
        <v>Automated Insight Generation</v>
      </c>
      <c r="B9" s="14" t="str">
        <f>VLOOKUP('Feature List'!B9, 'Gap Analysis'!A2:F26, 5, FALSE)</f>
        <v>Moderate</v>
      </c>
      <c r="C9" s="14" t="str">
        <f>VLOOKUP('Feature List'!B9, 'Gap Analysis'!A2:F26, 6, FALSE)</f>
        <v>Medium</v>
      </c>
      <c r="D9" s="14" t="str">
        <f t="array" ref="D9">INDEX('Benchmarking Data'!AB2:AB131, MATCH('Feature List'!B9, 'Benchmarking Data'!F2:F131, 0))</f>
        <v>Monitor Market</v>
      </c>
      <c r="E9" s="14" t="str">
        <f t="shared" si="0"/>
        <v>NEXT</v>
      </c>
    </row>
    <row r="10" spans="1:5" ht="14.5">
      <c r="A10" s="14" t="str">
        <f>'Feature List'!B10</f>
        <v>Natural Language Querying (NLQ)</v>
      </c>
      <c r="B10" s="14" t="str">
        <f>VLOOKUP('Feature List'!B10, 'Gap Analysis'!A2:F26, 5, FALSE)</f>
        <v>Critical</v>
      </c>
      <c r="C10" s="14" t="str">
        <f>VLOOKUP('Feature List'!B10, 'Gap Analysis'!A2:F26, 6, FALSE)</f>
        <v>High</v>
      </c>
      <c r="D10" s="14" t="str">
        <f t="array" ref="D10">INDEX('Benchmarking Data'!AB2:AB131, MATCH('Feature List'!B10, 'Benchmarking Data'!F2:F131, 0))</f>
        <v>Monitor Market</v>
      </c>
      <c r="E10" s="14" t="str">
        <f t="shared" si="0"/>
        <v>NOW</v>
      </c>
    </row>
    <row r="11" spans="1:5" ht="14.5">
      <c r="A11" s="14" t="str">
        <f>'Feature List'!B11</f>
        <v>Forecasting &amp; Trend Projection</v>
      </c>
      <c r="B11" s="14" t="str">
        <f>VLOOKUP('Feature List'!B11, 'Gap Analysis'!A2:F26, 5, FALSE)</f>
        <v>None</v>
      </c>
      <c r="C11" s="14" t="str">
        <f>VLOOKUP('Feature List'!B11, 'Gap Analysis'!A2:F26, 6, FALSE)</f>
        <v>Low</v>
      </c>
      <c r="D11" s="14" t="str">
        <f t="array" ref="D11">INDEX('Benchmarking Data'!AB2:AB131, MATCH('Feature List'!B11, 'Benchmarking Data'!F2:F131, 0))</f>
        <v>Monitor Market</v>
      </c>
      <c r="E11" s="14" t="str">
        <f t="shared" si="0"/>
        <v>LATER</v>
      </c>
    </row>
    <row r="12" spans="1:5" ht="14.5">
      <c r="A12" s="14" t="str">
        <f>'Feature List'!B12</f>
        <v>Smart Alerting &amp; Triggers</v>
      </c>
      <c r="B12" s="14" t="str">
        <f>VLOOKUP('Feature List'!B12, 'Gap Analysis'!A2:F26, 5, FALSE)</f>
        <v>Critical</v>
      </c>
      <c r="C12" s="14" t="str">
        <f>VLOOKUP('Feature List'!B12, 'Gap Analysis'!A2:F26, 6, FALSE)</f>
        <v>High</v>
      </c>
      <c r="D12" s="14" t="str">
        <f t="array" ref="D12">INDEX('Benchmarking Data'!AB2:AB131, MATCH('Feature List'!B12, 'Benchmarking Data'!F2:F131, 0))</f>
        <v>Monitor Market</v>
      </c>
      <c r="E12" s="14" t="str">
        <f t="shared" si="0"/>
        <v>NOW</v>
      </c>
    </row>
    <row r="13" spans="1:5" ht="14.5">
      <c r="A13" s="14" t="str">
        <f>'Feature List'!B13</f>
        <v>REST API &amp; Webhooks</v>
      </c>
      <c r="B13" s="14" t="str">
        <f>VLOOKUP('Feature List'!B13, 'Gap Analysis'!A2:F26, 5, FALSE)</f>
        <v>Critical</v>
      </c>
      <c r="C13" s="14" t="str">
        <f>VLOOKUP('Feature List'!B13, 'Gap Analysis'!A2:F26, 6, FALSE)</f>
        <v>High</v>
      </c>
      <c r="D13" s="14" t="str">
        <f t="array" ref="D13">INDEX('Benchmarking Data'!AB2:AB131, MATCH('Feature List'!B13, 'Benchmarking Data'!F2:F131, 0))</f>
        <v>Monitor Market</v>
      </c>
      <c r="E13" s="14" t="str">
        <f t="shared" si="0"/>
        <v>NOW</v>
      </c>
    </row>
    <row r="14" spans="1:5" ht="14.5">
      <c r="A14" s="14" t="str">
        <f>'Feature List'!B14</f>
        <v>Pre-built Salesforce Connector</v>
      </c>
      <c r="B14" s="14" t="str">
        <f>VLOOKUP('Feature List'!B14, 'Gap Analysis'!A2:F26, 5, FALSE)</f>
        <v>Critical</v>
      </c>
      <c r="C14" s="14" t="str">
        <f>VLOOKUP('Feature List'!B14, 'Gap Analysis'!A2:F26, 6, FALSE)</f>
        <v>High</v>
      </c>
      <c r="D14" s="14" t="str">
        <f t="array" ref="D14">INDEX('Benchmarking Data'!AB2:AB131, MATCH('Feature List'!B14, 'Benchmarking Data'!F2:F131, 0))</f>
        <v>Promote &amp; Monetize</v>
      </c>
      <c r="E14" s="14" t="str">
        <f t="shared" si="0"/>
        <v>NOW</v>
      </c>
    </row>
    <row r="15" spans="1:5" ht="14.5">
      <c r="A15" s="14" t="str">
        <f>'Feature List'!B15</f>
        <v>Snowflake &amp; BigQuery Sync</v>
      </c>
      <c r="B15" s="14" t="str">
        <f>VLOOKUP('Feature List'!B15, 'Gap Analysis'!A2:F26, 5, FALSE)</f>
        <v>Critical</v>
      </c>
      <c r="C15" s="14" t="str">
        <f>VLOOKUP('Feature List'!B15, 'Gap Analysis'!A2:F26, 6, FALSE)</f>
        <v>High</v>
      </c>
      <c r="D15" s="14" t="str">
        <f t="array" ref="D15">INDEX('Benchmarking Data'!AB2:AB131, MATCH('Feature List'!B15, 'Benchmarking Data'!F2:F131, 0))</f>
        <v>Maintain Advantage</v>
      </c>
      <c r="E15" s="14" t="str">
        <f t="shared" si="0"/>
        <v>NOW</v>
      </c>
    </row>
    <row r="16" spans="1:5" ht="14.5">
      <c r="A16" s="14" t="str">
        <f>'Feature List'!B16</f>
        <v>Zapier &amp; Make Integration</v>
      </c>
      <c r="B16" s="14" t="str">
        <f>VLOOKUP('Feature List'!B16, 'Gap Analysis'!A2:F26, 5, FALSE)</f>
        <v>Critical</v>
      </c>
      <c r="C16" s="14" t="str">
        <f>VLOOKUP('Feature List'!B16, 'Gap Analysis'!A2:F26, 6, FALSE)</f>
        <v>High</v>
      </c>
      <c r="D16" s="14" t="str">
        <f t="array" ref="D16">INDEX('Benchmarking Data'!AB2:AB131, MATCH('Feature List'!B16, 'Benchmarking Data'!F2:F131, 0))</f>
        <v>Promote &amp; Monetize</v>
      </c>
      <c r="E16" s="14" t="str">
        <f t="shared" si="0"/>
        <v>NOW</v>
      </c>
    </row>
    <row r="17" spans="1:5" ht="14.5">
      <c r="A17" s="14" t="str">
        <f>'Feature List'!B17</f>
        <v>Custom ETL Scripting Support</v>
      </c>
      <c r="B17" s="14" t="str">
        <f>VLOOKUP('Feature List'!B17, 'Gap Analysis'!A2:F26, 5, FALSE)</f>
        <v>Critical</v>
      </c>
      <c r="C17" s="14" t="str">
        <f>VLOOKUP('Feature List'!B17, 'Gap Analysis'!A2:F26, 6, FALSE)</f>
        <v>High</v>
      </c>
      <c r="D17" s="14" t="str">
        <f t="array" ref="D17">INDEX('Benchmarking Data'!AB2:AB131, MATCH('Feature List'!B17, 'Benchmarking Data'!F2:F131, 0))</f>
        <v>Promote &amp; Monetize</v>
      </c>
      <c r="E17" s="14" t="str">
        <f t="shared" si="0"/>
        <v>NOW</v>
      </c>
    </row>
    <row r="18" spans="1:5" ht="14.5">
      <c r="A18" s="14" t="str">
        <f>'Feature List'!B18</f>
        <v>Role-Based Access Control (RBAC)</v>
      </c>
      <c r="B18" s="14" t="str">
        <f>VLOOKUP('Feature List'!B18, 'Gap Analysis'!A2:F26, 5, FALSE)</f>
        <v>None</v>
      </c>
      <c r="C18" s="14" t="str">
        <f>VLOOKUP('Feature List'!B18, 'Gap Analysis'!A2:F26, 6, FALSE)</f>
        <v>Low</v>
      </c>
      <c r="D18" s="14" t="str">
        <f t="array" ref="D18">INDEX('Benchmarking Data'!AB2:AB131, MATCH('Feature List'!B18, 'Benchmarking Data'!F2:F131, 0))</f>
        <v>Promote &amp; Monetize</v>
      </c>
      <c r="E18" s="14" t="str">
        <f t="shared" si="0"/>
        <v>LATER</v>
      </c>
    </row>
    <row r="19" spans="1:5" ht="14.5">
      <c r="A19" s="14" t="str">
        <f>'Feature List'!B19</f>
        <v>SOC2 Type II Compliance</v>
      </c>
      <c r="B19" s="14" t="str">
        <f>VLOOKUP('Feature List'!B19, 'Gap Analysis'!A2:F26, 5, FALSE)</f>
        <v>Critical</v>
      </c>
      <c r="C19" s="14" t="str">
        <f>VLOOKUP('Feature List'!B19, 'Gap Analysis'!A2:F26, 6, FALSE)</f>
        <v>High</v>
      </c>
      <c r="D19" s="14" t="str">
        <f t="array" ref="D19">INDEX('Benchmarking Data'!AB2:AB131, MATCH('Feature List'!B19, 'Benchmarking Data'!F2:F131, 0))</f>
        <v>Monitor Market</v>
      </c>
      <c r="E19" s="14" t="str">
        <f t="shared" si="0"/>
        <v>NOW</v>
      </c>
    </row>
    <row r="20" spans="1:5" ht="14.5">
      <c r="A20" s="14" t="str">
        <f>'Feature List'!B20</f>
        <v>Single Sign-On (SSO / SAML)</v>
      </c>
      <c r="B20" s="14" t="str">
        <f>VLOOKUP('Feature List'!B20, 'Gap Analysis'!A2:F26, 5, FALSE)</f>
        <v>Critical</v>
      </c>
      <c r="C20" s="14" t="str">
        <f>VLOOKUP('Feature List'!B20, 'Gap Analysis'!A2:F26, 6, FALSE)</f>
        <v>High</v>
      </c>
      <c r="D20" s="14" t="str">
        <f t="array" ref="D20">INDEX('Benchmarking Data'!AB2:AB131, MATCH('Feature List'!B20, 'Benchmarking Data'!F2:F131, 0))</f>
        <v>Monitor Market</v>
      </c>
      <c r="E20" s="14" t="str">
        <f t="shared" si="0"/>
        <v>NOW</v>
      </c>
    </row>
    <row r="21" spans="1:5" ht="15.75" customHeight="1">
      <c r="A21" s="14" t="str">
        <f>'Feature List'!B21</f>
        <v>Data Masking &amp; Encryption at Rest</v>
      </c>
      <c r="B21" s="14" t="str">
        <f>VLOOKUP('Feature List'!B21, 'Gap Analysis'!A2:F26, 5, FALSE)</f>
        <v>Moderate</v>
      </c>
      <c r="C21" s="14" t="str">
        <f>VLOOKUP('Feature List'!B21, 'Gap Analysis'!A2:F26, 6, FALSE)</f>
        <v>Medium</v>
      </c>
      <c r="D21" s="14" t="str">
        <f t="array" ref="D21">INDEX('Benchmarking Data'!AB2:AB131, MATCH('Feature List'!B21, 'Benchmarking Data'!F2:F131, 0))</f>
        <v>Enhance Capability</v>
      </c>
      <c r="E21" s="14" t="str">
        <f t="shared" si="0"/>
        <v>NEXT</v>
      </c>
    </row>
    <row r="22" spans="1:5" ht="15.75" customHeight="1">
      <c r="A22" s="14" t="str">
        <f>'Feature List'!B22</f>
        <v>Audit Logging &amp; Activity Trails</v>
      </c>
      <c r="B22" s="14" t="str">
        <f>VLOOKUP('Feature List'!B22, 'Gap Analysis'!A2:F26, 5, FALSE)</f>
        <v>Critical</v>
      </c>
      <c r="C22" s="14" t="str">
        <f>VLOOKUP('Feature List'!B22, 'Gap Analysis'!A2:F26, 6, FALSE)</f>
        <v>High</v>
      </c>
      <c r="D22" s="14" t="str">
        <f t="array" ref="D22">INDEX('Benchmarking Data'!AB2:AB131, MATCH('Feature List'!B22, 'Benchmarking Data'!F2:F131, 0))</f>
        <v>Enhance Capability</v>
      </c>
      <c r="E22" s="14" t="str">
        <f t="shared" si="0"/>
        <v>NOW</v>
      </c>
    </row>
    <row r="23" spans="1:5" ht="15.75" customHeight="1">
      <c r="A23" s="14" t="str">
        <f>'Feature List'!B23</f>
        <v>Native iOS &amp; Android App</v>
      </c>
      <c r="B23" s="14" t="str">
        <f>VLOOKUP('Feature List'!B23, 'Gap Analysis'!A2:F26, 5, FALSE)</f>
        <v>Moderate</v>
      </c>
      <c r="C23" s="14" t="str">
        <f>VLOOKUP('Feature List'!B23, 'Gap Analysis'!A2:F26, 6, FALSE)</f>
        <v>Medium</v>
      </c>
      <c r="D23" s="14" t="str">
        <f t="array" ref="D23">INDEX('Benchmarking Data'!AB2:AB131, MATCH('Feature List'!B23, 'Benchmarking Data'!F2:F131, 0))</f>
        <v>Monitor Market</v>
      </c>
      <c r="E23" s="14" t="str">
        <f t="shared" si="0"/>
        <v>NEXT</v>
      </c>
    </row>
    <row r="24" spans="1:5" ht="15.75" customHeight="1">
      <c r="A24" s="14" t="str">
        <f>'Feature List'!B24</f>
        <v>Dark Mode / Custom Themes</v>
      </c>
      <c r="B24" s="14" t="str">
        <f>VLOOKUP('Feature List'!B24, 'Gap Analysis'!A2:F26, 5, FALSE)</f>
        <v>Critical</v>
      </c>
      <c r="C24" s="14" t="str">
        <f>VLOOKUP('Feature List'!B24, 'Gap Analysis'!A2:F26, 6, FALSE)</f>
        <v>High</v>
      </c>
      <c r="D24" s="14" t="str">
        <f t="array" ref="D24">INDEX('Benchmarking Data'!AB2:AB131, MATCH('Feature List'!B24, 'Benchmarking Data'!F2:F131, 0))</f>
        <v>Promote &amp; Monetize</v>
      </c>
      <c r="E24" s="14" t="str">
        <f t="shared" si="0"/>
        <v>NOW</v>
      </c>
    </row>
    <row r="25" spans="1:5" ht="15.75" customHeight="1">
      <c r="A25" s="14" t="str">
        <f>'Feature List'!B25</f>
        <v>Collaborative Comments &amp; Tagging</v>
      </c>
      <c r="B25" s="14" t="str">
        <f>VLOOKUP('Feature List'!B25, 'Gap Analysis'!A2:F26, 5, FALSE)</f>
        <v>Critical</v>
      </c>
      <c r="C25" s="14" t="str">
        <f>VLOOKUP('Feature List'!B25, 'Gap Analysis'!A2:F26, 6, FALSE)</f>
        <v>High</v>
      </c>
      <c r="D25" s="14" t="str">
        <f t="array" ref="D25">INDEX('Benchmarking Data'!AB2:AB131, MATCH('Feature List'!B25, 'Benchmarking Data'!F2:F131, 0))</f>
        <v>Monitor Market</v>
      </c>
      <c r="E25" s="14" t="str">
        <f t="shared" si="0"/>
        <v>NOW</v>
      </c>
    </row>
    <row r="26" spans="1:5" ht="15.75" customHeight="1">
      <c r="A26" s="14" t="str">
        <f>'Feature List'!B26</f>
        <v>Multi-Language Localization</v>
      </c>
      <c r="B26" s="14" t="str">
        <f>VLOOKUP('Feature List'!B26, 'Gap Analysis'!A2:F26, 5, FALSE)</f>
        <v>Critical</v>
      </c>
      <c r="C26" s="14" t="str">
        <f>VLOOKUP('Feature List'!B26, 'Gap Analysis'!A2:F26, 6, FALSE)</f>
        <v>High</v>
      </c>
      <c r="D26" s="14" t="str">
        <f t="array" ref="D26">INDEX('Benchmarking Data'!AB2:AB131, MATCH('Feature List'!B26, 'Benchmarking Data'!F2:F131, 0))</f>
        <v>Monitor Market</v>
      </c>
      <c r="E26" s="14" t="str">
        <f t="shared" si="0"/>
        <v>NOW</v>
      </c>
    </row>
    <row r="27" spans="1:5" ht="15.75" customHeight="1">
      <c r="A27" s="14" t="str">
        <f>'Feature List'!B27</f>
        <v>Custom White-Labeling</v>
      </c>
      <c r="B27" s="14" t="s">
        <v>299</v>
      </c>
      <c r="C27" s="14" t="s">
        <v>298</v>
      </c>
      <c r="D27" s="14" t="str">
        <f t="array" ref="D27">INDEX('Benchmarking Data'!AB2:AB131, MATCH('Feature List'!B27, 'Benchmarking Data'!F2:F131, 0))</f>
        <v>Monitor Market</v>
      </c>
      <c r="E27" s="14" t="str">
        <f t="shared" si="0"/>
        <v>NEXT</v>
      </c>
    </row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opLeftCell="A2" zoomScale="56" workbookViewId="0">
      <selection activeCell="C28" sqref="C28"/>
    </sheetView>
  </sheetViews>
  <sheetFormatPr defaultColWidth="12.6328125" defaultRowHeight="15" customHeight="1"/>
  <cols>
    <col min="1" max="1" width="74.36328125" customWidth="1"/>
    <col min="2" max="3" width="33.26953125" customWidth="1"/>
    <col min="4" max="4" width="63.90625" customWidth="1"/>
    <col min="5" max="7" width="33.26953125" customWidth="1"/>
    <col min="8" max="8" width="35" customWidth="1"/>
    <col min="9" max="11" width="7.6328125" customWidth="1"/>
  </cols>
  <sheetData>
    <row r="1" spans="1:8" ht="14.5">
      <c r="A1" s="1"/>
      <c r="B1" s="1"/>
      <c r="C1" s="1"/>
      <c r="D1" s="1"/>
      <c r="E1" s="1"/>
      <c r="F1" s="1"/>
      <c r="G1" s="1"/>
      <c r="H1" s="1"/>
    </row>
    <row r="2" spans="1:8" ht="14.5">
      <c r="A2" s="17" t="s">
        <v>252</v>
      </c>
      <c r="B2" s="17" t="s">
        <v>290</v>
      </c>
      <c r="C2" s="17" t="s">
        <v>291</v>
      </c>
      <c r="D2" s="17" t="s">
        <v>292</v>
      </c>
    </row>
    <row r="3" spans="1:8" ht="23.5">
      <c r="A3" s="2">
        <f>COUNTIF('Benchmarking Data'!G2:G131, "Available")/COUNTA('Benchmarking Data'!G2:G131)</f>
        <v>0.72307692307692306</v>
      </c>
      <c r="B3" s="2">
        <f>AVERAGE('Benchmarking Data'!I2:I131)</f>
        <v>7.7692307692307692</v>
      </c>
      <c r="C3" s="2">
        <f>AVERAGE('Benchmarking Data'!P2:P131)</f>
        <v>7.9923076923076923</v>
      </c>
      <c r="D3" s="2">
        <f>AVERAGE('Benchmarking Data'!M2:M131)/AVERAGE('Benchmarking Data'!N2:N131)</f>
        <v>0.73529411764705888</v>
      </c>
    </row>
    <row r="11" spans="1:8" ht="15" customHeight="1">
      <c r="C11" s="17" t="s">
        <v>24</v>
      </c>
    </row>
    <row r="12" spans="1:8" ht="15" customHeight="1">
      <c r="C12" s="2">
        <f>AVERAGE('Benchmarking Data'!Y2:Y131)</f>
        <v>3.821538461538462</v>
      </c>
    </row>
    <row r="16" spans="1:8" ht="15" customHeight="1">
      <c r="C16" s="17" t="s">
        <v>293</v>
      </c>
    </row>
    <row r="17" spans="3:3" ht="15" customHeight="1">
      <c r="C17" s="2">
        <f>AVERAGE('Benchmarking Data'!X2:X131)</f>
        <v>0.26538461538461539</v>
      </c>
    </row>
    <row r="20" spans="3:3" ht="15.75" customHeight="1">
      <c r="C20" s="17" t="s">
        <v>25</v>
      </c>
    </row>
    <row r="21" spans="3:3" ht="15.75" customHeight="1">
      <c r="C21" s="2">
        <f>AVERAGE('Benchmarking Data'!Z2:Z131)</f>
        <v>4.7330769230769238</v>
      </c>
    </row>
    <row r="22" spans="3:3" ht="15.75" customHeight="1"/>
    <row r="23" spans="3:3" ht="15.75" customHeight="1"/>
    <row r="24" spans="3:3" ht="15.75" customHeight="1">
      <c r="C24" s="17" t="s">
        <v>294</v>
      </c>
    </row>
    <row r="25" spans="3:3" ht="15.75" customHeight="1">
      <c r="C25" s="2">
        <f>COUNTIF('Gap Analysis'!F2:F27, "High")</f>
        <v>20</v>
      </c>
    </row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pageMargins left="0.75" right="0.75" top="1" bottom="1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zoomScale="71" workbookViewId="0">
      <selection activeCell="Q6" sqref="Q6"/>
    </sheetView>
  </sheetViews>
  <sheetFormatPr defaultColWidth="12.6328125" defaultRowHeight="15" customHeight="1"/>
  <cols>
    <col min="1" max="2" width="19.26953125" customWidth="1"/>
    <col min="3" max="3" width="24.453125" customWidth="1"/>
    <col min="4" max="16" width="7.6328125" customWidth="1"/>
  </cols>
  <sheetData>
    <row r="1" spans="1:3" ht="14.5">
      <c r="A1" s="18" t="s">
        <v>2</v>
      </c>
      <c r="B1" s="18" t="s">
        <v>295</v>
      </c>
      <c r="C1" s="18" t="s">
        <v>252</v>
      </c>
    </row>
    <row r="2" spans="1:3" ht="14.5">
      <c r="A2" s="6" t="str">
        <f>'Competitor List'!A2</f>
        <v>DataGlow AI</v>
      </c>
      <c r="B2" s="6">
        <f>'Competitor List'!D2</f>
        <v>45</v>
      </c>
      <c r="C2" s="6">
        <f>'Competitor Comparison'!C2</f>
        <v>0.57692307692307687</v>
      </c>
    </row>
    <row r="3" spans="1:3" ht="14.5">
      <c r="A3" s="6" t="str">
        <f>'Competitor List'!A3</f>
        <v>MetricFlow</v>
      </c>
      <c r="B3" s="6">
        <f>'Competitor List'!D3</f>
        <v>120</v>
      </c>
      <c r="C3" s="6">
        <f>'Competitor Comparison'!C3</f>
        <v>0.15384615384615385</v>
      </c>
    </row>
    <row r="4" spans="1:3" ht="14.5">
      <c r="A4" s="6" t="str">
        <f>'Competitor List'!A4</f>
        <v>InsightHub</v>
      </c>
      <c r="B4" s="6">
        <f>'Competitor List'!D4</f>
        <v>85</v>
      </c>
      <c r="C4" s="6">
        <f>'Competitor Comparison'!C4</f>
        <v>0.19230769230769232</v>
      </c>
    </row>
    <row r="5" spans="1:3" ht="14.5">
      <c r="A5" s="6" t="str">
        <f>'Competitor List'!A5</f>
        <v>ApexAnalytics</v>
      </c>
      <c r="B5" s="6">
        <f>'Competitor List'!D5</f>
        <v>60</v>
      </c>
      <c r="C5" s="6">
        <f>'Competitor Comparison'!C5</f>
        <v>0.26923076923076922</v>
      </c>
    </row>
    <row r="6" spans="1:3" ht="14.5">
      <c r="A6" s="6" t="str">
        <f>'Competitor List'!A6</f>
        <v>VeloData</v>
      </c>
      <c r="B6" s="6">
        <f>'Competitor List'!D6</f>
        <v>30</v>
      </c>
      <c r="C6" s="6">
        <f>'Competitor Comparison'!C6</f>
        <v>0.30769230769230771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zoomScale="89" workbookViewId="0">
      <selection activeCell="B5" sqref="B5"/>
    </sheetView>
  </sheetViews>
  <sheetFormatPr defaultColWidth="12.6328125" defaultRowHeight="15" customHeight="1"/>
  <cols>
    <col min="1" max="1" width="31.453125" style="3" customWidth="1"/>
    <col min="2" max="2" width="18.36328125" style="3" customWidth="1"/>
    <col min="3" max="3" width="17.453125" style="3" customWidth="1"/>
    <col min="4" max="4" width="12.26953125" style="3" customWidth="1"/>
    <col min="5" max="17" width="7.6328125" style="3" customWidth="1"/>
    <col min="18" max="16384" width="12.6328125" style="3"/>
  </cols>
  <sheetData>
    <row r="1" spans="1:4" ht="14.5">
      <c r="A1" s="20" t="s">
        <v>5</v>
      </c>
      <c r="B1" s="20" t="s">
        <v>285</v>
      </c>
      <c r="C1" s="20" t="s">
        <v>25</v>
      </c>
      <c r="D1" s="20" t="s">
        <v>281</v>
      </c>
    </row>
    <row r="2" spans="1:4" ht="14.5">
      <c r="A2" s="14" t="s">
        <v>33</v>
      </c>
      <c r="B2" s="14">
        <v>5</v>
      </c>
      <c r="C2" s="14">
        <v>51</v>
      </c>
      <c r="D2" s="14" t="s">
        <v>86</v>
      </c>
    </row>
    <row r="3" spans="1:4" ht="14.5">
      <c r="A3" s="14" t="s">
        <v>40</v>
      </c>
      <c r="B3" s="14">
        <v>6</v>
      </c>
      <c r="C3" s="14">
        <v>51</v>
      </c>
      <c r="D3" s="14" t="s">
        <v>86</v>
      </c>
    </row>
    <row r="4" spans="1:4" ht="14.5">
      <c r="A4" s="14" t="s">
        <v>44</v>
      </c>
      <c r="B4" s="14">
        <v>7</v>
      </c>
      <c r="C4" s="14">
        <v>68</v>
      </c>
      <c r="D4" s="14" t="s">
        <v>86</v>
      </c>
    </row>
    <row r="5" spans="1:4" ht="14.5">
      <c r="A5" s="14" t="s">
        <v>48</v>
      </c>
      <c r="B5" s="14">
        <v>8</v>
      </c>
      <c r="C5" s="14">
        <v>59.5</v>
      </c>
      <c r="D5" s="14" t="s">
        <v>86</v>
      </c>
    </row>
    <row r="6" spans="1:4" ht="14.5">
      <c r="A6" s="14" t="s">
        <v>51</v>
      </c>
      <c r="B6" s="14">
        <v>9</v>
      </c>
      <c r="C6" s="14">
        <v>59.5</v>
      </c>
      <c r="D6" s="14" t="s">
        <v>86</v>
      </c>
    </row>
    <row r="7" spans="1:4" ht="14.5">
      <c r="A7" s="14" t="s">
        <v>53</v>
      </c>
      <c r="B7" s="14">
        <v>3</v>
      </c>
      <c r="C7" s="14">
        <v>59.5</v>
      </c>
      <c r="D7" s="14" t="s">
        <v>86</v>
      </c>
    </row>
    <row r="8" spans="1:4" ht="14.5">
      <c r="A8" s="14" t="s">
        <v>56</v>
      </c>
      <c r="B8" s="14">
        <v>4</v>
      </c>
      <c r="C8" s="14">
        <v>51</v>
      </c>
      <c r="D8" s="14" t="s">
        <v>86</v>
      </c>
    </row>
    <row r="9" spans="1:4" ht="14.5">
      <c r="A9" s="14" t="s">
        <v>58</v>
      </c>
      <c r="B9" s="14">
        <v>5</v>
      </c>
      <c r="C9" s="14">
        <v>85</v>
      </c>
      <c r="D9" s="14" t="s">
        <v>86</v>
      </c>
    </row>
    <row r="10" spans="1:4" ht="14.5">
      <c r="A10" s="14" t="s">
        <v>60</v>
      </c>
      <c r="B10" s="14">
        <v>6</v>
      </c>
      <c r="C10" s="14">
        <v>51</v>
      </c>
      <c r="D10" s="14" t="s">
        <v>86</v>
      </c>
    </row>
    <row r="11" spans="1:4" ht="14.5">
      <c r="A11" s="14" t="s">
        <v>63</v>
      </c>
      <c r="B11" s="14">
        <v>7</v>
      </c>
      <c r="C11" s="14">
        <v>85</v>
      </c>
      <c r="D11" s="14" t="s">
        <v>86</v>
      </c>
    </row>
    <row r="12" spans="1:4" ht="14.5">
      <c r="A12" s="14" t="s">
        <v>65</v>
      </c>
      <c r="B12" s="14">
        <v>8</v>
      </c>
      <c r="C12" s="14">
        <v>76.5</v>
      </c>
      <c r="D12" s="14" t="s">
        <v>86</v>
      </c>
    </row>
    <row r="13" spans="1:4" ht="14.5">
      <c r="A13" s="14" t="s">
        <v>68</v>
      </c>
      <c r="B13" s="14">
        <v>9</v>
      </c>
      <c r="C13" s="14">
        <v>51</v>
      </c>
      <c r="D13" s="14" t="s">
        <v>86</v>
      </c>
    </row>
    <row r="14" spans="1:4" ht="14.5">
      <c r="A14" s="14" t="s">
        <v>70</v>
      </c>
      <c r="B14" s="14">
        <v>3</v>
      </c>
      <c r="C14" s="14">
        <v>51</v>
      </c>
      <c r="D14" s="14" t="s">
        <v>86</v>
      </c>
    </row>
    <row r="15" spans="1:4" ht="14.5">
      <c r="A15" s="14" t="s">
        <v>72</v>
      </c>
      <c r="B15" s="14">
        <v>4</v>
      </c>
      <c r="C15" s="14">
        <v>51</v>
      </c>
      <c r="D15" s="14" t="s">
        <v>86</v>
      </c>
    </row>
    <row r="16" spans="1:4" ht="14.5">
      <c r="A16" s="14" t="s">
        <v>74</v>
      </c>
      <c r="B16" s="14">
        <v>5</v>
      </c>
      <c r="C16" s="14">
        <v>59.5</v>
      </c>
      <c r="D16" s="14" t="s">
        <v>86</v>
      </c>
    </row>
    <row r="17" spans="1:4" ht="14.5">
      <c r="A17" s="14" t="s">
        <v>76</v>
      </c>
      <c r="B17" s="14">
        <v>6</v>
      </c>
      <c r="C17" s="14">
        <v>59.5</v>
      </c>
      <c r="D17" s="14" t="s">
        <v>86</v>
      </c>
    </row>
    <row r="18" spans="1:4" ht="14.5">
      <c r="A18" s="14" t="s">
        <v>79</v>
      </c>
      <c r="B18" s="14">
        <v>7</v>
      </c>
      <c r="C18" s="14">
        <v>85</v>
      </c>
      <c r="D18" s="14" t="s">
        <v>86</v>
      </c>
    </row>
    <row r="19" spans="1:4" ht="14.5">
      <c r="A19" s="14" t="s">
        <v>81</v>
      </c>
      <c r="B19" s="14">
        <v>8</v>
      </c>
      <c r="C19" s="14">
        <v>85</v>
      </c>
      <c r="D19" s="14" t="s">
        <v>86</v>
      </c>
    </row>
    <row r="20" spans="1:4" ht="14.5">
      <c r="A20" s="14" t="s">
        <v>83</v>
      </c>
      <c r="B20" s="14">
        <v>9</v>
      </c>
      <c r="C20" s="14">
        <v>51</v>
      </c>
      <c r="D20" s="14" t="s">
        <v>86</v>
      </c>
    </row>
    <row r="21" spans="1:4" ht="15.75" customHeight="1">
      <c r="A21" s="14" t="s">
        <v>85</v>
      </c>
      <c r="B21" s="14">
        <v>3</v>
      </c>
      <c r="C21" s="14">
        <v>85</v>
      </c>
      <c r="D21" s="14" t="s">
        <v>86</v>
      </c>
    </row>
    <row r="22" spans="1:4" ht="15.75" customHeight="1">
      <c r="A22" s="14" t="s">
        <v>89</v>
      </c>
      <c r="B22" s="14">
        <v>4</v>
      </c>
      <c r="C22" s="14">
        <v>59.5</v>
      </c>
      <c r="D22" s="14" t="s">
        <v>86</v>
      </c>
    </row>
    <row r="23" spans="1:4" ht="15.75" customHeight="1">
      <c r="A23" s="14" t="s">
        <v>92</v>
      </c>
      <c r="B23" s="14">
        <v>5</v>
      </c>
      <c r="C23" s="14">
        <v>85</v>
      </c>
      <c r="D23" s="14" t="s">
        <v>86</v>
      </c>
    </row>
    <row r="24" spans="1:4" ht="15.75" customHeight="1">
      <c r="A24" s="14" t="s">
        <v>94</v>
      </c>
      <c r="B24" s="14">
        <v>6</v>
      </c>
      <c r="C24" s="14">
        <v>76.5</v>
      </c>
      <c r="D24" s="14" t="s">
        <v>86</v>
      </c>
    </row>
    <row r="25" spans="1:4" ht="15.75" customHeight="1">
      <c r="A25" s="14" t="s">
        <v>96</v>
      </c>
      <c r="B25" s="14">
        <v>7</v>
      </c>
      <c r="C25" s="14">
        <v>59.5</v>
      </c>
      <c r="D25" s="14" t="s">
        <v>86</v>
      </c>
    </row>
    <row r="26" spans="1:4" ht="15.75" customHeight="1">
      <c r="A26" s="14" t="s">
        <v>98</v>
      </c>
      <c r="B26" s="14">
        <v>8</v>
      </c>
      <c r="C26" s="14">
        <v>76.5</v>
      </c>
      <c r="D26" s="14" t="s">
        <v>86</v>
      </c>
    </row>
    <row r="27" spans="1:4" ht="15.75" customHeight="1">
      <c r="A27" s="14" t="s">
        <v>100</v>
      </c>
      <c r="B27" s="14">
        <v>9</v>
      </c>
      <c r="C27" s="14">
        <v>85</v>
      </c>
      <c r="D27" s="14" t="s">
        <v>86</v>
      </c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B1" workbookViewId="0">
      <selection activeCell="F6" sqref="F6"/>
    </sheetView>
  </sheetViews>
  <sheetFormatPr defaultColWidth="12.6328125" defaultRowHeight="15" customHeight="1"/>
  <cols>
    <col min="1" max="1" width="12.26953125" customWidth="1"/>
    <col min="2" max="2" width="31.453125" customWidth="1"/>
    <col min="3" max="3" width="13.08984375" customWidth="1"/>
    <col min="4" max="4" width="12.26953125" customWidth="1"/>
    <col min="5" max="5" width="17.453125" customWidth="1"/>
    <col min="6" max="6" width="18.36328125" customWidth="1"/>
    <col min="7" max="17" width="7.6328125" customWidth="1"/>
  </cols>
  <sheetData>
    <row r="1" spans="1:6" ht="14.5">
      <c r="A1" s="19" t="s">
        <v>296</v>
      </c>
      <c r="B1" s="19" t="s">
        <v>5</v>
      </c>
      <c r="C1" s="19" t="s">
        <v>267</v>
      </c>
      <c r="D1" s="19" t="s">
        <v>281</v>
      </c>
      <c r="E1" s="19" t="s">
        <v>25</v>
      </c>
      <c r="F1" s="19" t="s">
        <v>27</v>
      </c>
    </row>
    <row r="2" spans="1:6" ht="14.5">
      <c r="A2" s="4">
        <v>1</v>
      </c>
      <c r="B2" s="4" t="s">
        <v>58</v>
      </c>
      <c r="C2" s="4" t="s">
        <v>297</v>
      </c>
      <c r="D2" s="4" t="s">
        <v>86</v>
      </c>
      <c r="E2" s="4">
        <v>85</v>
      </c>
      <c r="F2" s="4" t="s">
        <v>38</v>
      </c>
    </row>
    <row r="3" spans="1:6" ht="14.5">
      <c r="A3" s="4">
        <v>2</v>
      </c>
      <c r="B3" s="4" t="s">
        <v>63</v>
      </c>
      <c r="C3" s="4" t="s">
        <v>297</v>
      </c>
      <c r="D3" s="4" t="s">
        <v>86</v>
      </c>
      <c r="E3" s="4">
        <v>85</v>
      </c>
      <c r="F3" s="4" t="s">
        <v>38</v>
      </c>
    </row>
    <row r="4" spans="1:6" ht="14.5">
      <c r="A4" s="4">
        <v>3</v>
      </c>
      <c r="B4" s="4" t="s">
        <v>79</v>
      </c>
      <c r="C4" s="4" t="s">
        <v>297</v>
      </c>
      <c r="D4" s="4" t="s">
        <v>86</v>
      </c>
      <c r="E4" s="4">
        <v>85</v>
      </c>
      <c r="F4" s="4" t="s">
        <v>46</v>
      </c>
    </row>
    <row r="5" spans="1:6" ht="14.5">
      <c r="A5" s="4">
        <v>4</v>
      </c>
      <c r="B5" s="4" t="s">
        <v>81</v>
      </c>
      <c r="C5" s="4" t="s">
        <v>297</v>
      </c>
      <c r="D5" s="4" t="s">
        <v>86</v>
      </c>
      <c r="E5" s="4">
        <v>85</v>
      </c>
      <c r="F5" s="4" t="s">
        <v>38</v>
      </c>
    </row>
    <row r="6" spans="1:6" ht="14.5">
      <c r="A6" s="4">
        <v>5</v>
      </c>
      <c r="B6" s="4" t="s">
        <v>85</v>
      </c>
      <c r="C6" s="4" t="s">
        <v>297</v>
      </c>
      <c r="D6" s="4" t="s">
        <v>86</v>
      </c>
      <c r="E6" s="4">
        <v>85</v>
      </c>
      <c r="F6" s="4" t="s">
        <v>87</v>
      </c>
    </row>
    <row r="7" spans="1:6" ht="14.5">
      <c r="A7" s="4">
        <v>6</v>
      </c>
      <c r="B7" s="4" t="s">
        <v>92</v>
      </c>
      <c r="C7" s="4" t="s">
        <v>297</v>
      </c>
      <c r="D7" s="4" t="s">
        <v>86</v>
      </c>
      <c r="E7" s="4">
        <v>85</v>
      </c>
      <c r="F7" s="4" t="s">
        <v>38</v>
      </c>
    </row>
    <row r="8" spans="1:6" ht="14.5">
      <c r="A8" s="4">
        <v>7</v>
      </c>
      <c r="B8" s="4" t="s">
        <v>100</v>
      </c>
      <c r="C8" s="4" t="s">
        <v>297</v>
      </c>
      <c r="D8" s="4" t="s">
        <v>86</v>
      </c>
      <c r="E8" s="4">
        <v>85</v>
      </c>
      <c r="F8" s="4" t="s">
        <v>38</v>
      </c>
    </row>
    <row r="9" spans="1:6" ht="14.5">
      <c r="A9" s="4">
        <v>8</v>
      </c>
      <c r="B9" s="4" t="s">
        <v>65</v>
      </c>
      <c r="C9" s="4" t="s">
        <v>297</v>
      </c>
      <c r="D9" s="4" t="s">
        <v>86</v>
      </c>
      <c r="E9" s="4">
        <v>76.5</v>
      </c>
      <c r="F9" s="4" t="s">
        <v>38</v>
      </c>
    </row>
    <row r="10" spans="1:6" ht="14.5">
      <c r="A10" s="4">
        <v>9</v>
      </c>
      <c r="B10" s="4" t="s">
        <v>94</v>
      </c>
      <c r="C10" s="4" t="s">
        <v>297</v>
      </c>
      <c r="D10" s="4" t="s">
        <v>86</v>
      </c>
      <c r="E10" s="4">
        <v>76.5</v>
      </c>
      <c r="F10" s="4" t="s">
        <v>46</v>
      </c>
    </row>
    <row r="11" spans="1:6" ht="14.5">
      <c r="A11" s="4">
        <v>10</v>
      </c>
      <c r="B11" s="4" t="s">
        <v>98</v>
      </c>
      <c r="C11" s="4" t="s">
        <v>297</v>
      </c>
      <c r="D11" s="4" t="s">
        <v>86</v>
      </c>
      <c r="E11" s="4">
        <v>76.5</v>
      </c>
      <c r="F11" s="4" t="s">
        <v>38</v>
      </c>
    </row>
    <row r="12" spans="1:6" ht="14.5">
      <c r="A12" s="4">
        <v>11</v>
      </c>
      <c r="B12" s="4" t="s">
        <v>44</v>
      </c>
      <c r="C12" s="4" t="s">
        <v>297</v>
      </c>
      <c r="D12" s="4" t="s">
        <v>86</v>
      </c>
      <c r="E12" s="4">
        <v>68</v>
      </c>
      <c r="F12" s="4" t="s">
        <v>46</v>
      </c>
    </row>
    <row r="13" spans="1:6" ht="14.5">
      <c r="A13" s="4">
        <v>12</v>
      </c>
      <c r="B13" s="4" t="s">
        <v>48</v>
      </c>
      <c r="C13" s="4" t="s">
        <v>297</v>
      </c>
      <c r="D13" s="4" t="s">
        <v>86</v>
      </c>
      <c r="E13" s="4">
        <v>59.5</v>
      </c>
      <c r="F13" s="4" t="s">
        <v>38</v>
      </c>
    </row>
    <row r="14" spans="1:6" ht="14.5">
      <c r="A14" s="4">
        <v>13</v>
      </c>
      <c r="B14" s="4" t="s">
        <v>51</v>
      </c>
      <c r="C14" s="4" t="s">
        <v>297</v>
      </c>
      <c r="D14" s="4" t="s">
        <v>86</v>
      </c>
      <c r="E14" s="4">
        <v>59.5</v>
      </c>
      <c r="F14" s="4" t="s">
        <v>46</v>
      </c>
    </row>
    <row r="15" spans="1:6" ht="14.5">
      <c r="A15" s="4">
        <v>14</v>
      </c>
      <c r="B15" s="4" t="s">
        <v>53</v>
      </c>
      <c r="C15" s="4" t="s">
        <v>297</v>
      </c>
      <c r="D15" s="4" t="s">
        <v>86</v>
      </c>
      <c r="E15" s="4">
        <v>59.5</v>
      </c>
      <c r="F15" s="4" t="s">
        <v>42</v>
      </c>
    </row>
    <row r="16" spans="1:6" ht="14.5">
      <c r="A16" s="4">
        <v>15</v>
      </c>
      <c r="B16" s="4" t="s">
        <v>74</v>
      </c>
      <c r="C16" s="4" t="s">
        <v>297</v>
      </c>
      <c r="D16" s="4" t="s">
        <v>86</v>
      </c>
      <c r="E16" s="4">
        <v>59.5</v>
      </c>
      <c r="F16" s="4" t="s">
        <v>46</v>
      </c>
    </row>
    <row r="17" spans="1:6" ht="14.5">
      <c r="A17" s="4">
        <v>16</v>
      </c>
      <c r="B17" s="4" t="s">
        <v>76</v>
      </c>
      <c r="C17" s="4" t="s">
        <v>297</v>
      </c>
      <c r="D17" s="4" t="s">
        <v>86</v>
      </c>
      <c r="E17" s="4">
        <v>59.5</v>
      </c>
      <c r="F17" s="4" t="s">
        <v>46</v>
      </c>
    </row>
    <row r="18" spans="1:6" ht="14.5">
      <c r="A18" s="4">
        <v>17</v>
      </c>
      <c r="B18" s="4" t="s">
        <v>89</v>
      </c>
      <c r="C18" s="4" t="s">
        <v>297</v>
      </c>
      <c r="D18" s="4" t="s">
        <v>86</v>
      </c>
      <c r="E18" s="4">
        <v>59.5</v>
      </c>
      <c r="F18" s="4" t="s">
        <v>87</v>
      </c>
    </row>
    <row r="19" spans="1:6" ht="14.5">
      <c r="A19" s="4">
        <v>18</v>
      </c>
      <c r="B19" s="4" t="s">
        <v>96</v>
      </c>
      <c r="C19" s="4" t="s">
        <v>297</v>
      </c>
      <c r="D19" s="4" t="s">
        <v>86</v>
      </c>
      <c r="E19" s="4">
        <v>59.5</v>
      </c>
      <c r="F19" s="4" t="s">
        <v>38</v>
      </c>
    </row>
    <row r="20" spans="1:6" ht="14.5">
      <c r="A20" s="4">
        <v>19</v>
      </c>
      <c r="B20" s="4" t="s">
        <v>33</v>
      </c>
      <c r="C20" s="4" t="s">
        <v>297</v>
      </c>
      <c r="D20" s="4" t="s">
        <v>86</v>
      </c>
      <c r="E20" s="4">
        <v>51</v>
      </c>
      <c r="F20" s="4" t="s">
        <v>38</v>
      </c>
    </row>
    <row r="21" spans="1:6" ht="15.75" customHeight="1">
      <c r="A21" s="4">
        <v>20</v>
      </c>
      <c r="B21" s="4" t="s">
        <v>40</v>
      </c>
      <c r="C21" s="4" t="s">
        <v>297</v>
      </c>
      <c r="D21" s="4" t="s">
        <v>86</v>
      </c>
      <c r="E21" s="4">
        <v>51</v>
      </c>
      <c r="F21" s="4" t="s">
        <v>42</v>
      </c>
    </row>
    <row r="22" spans="1:6" ht="15.75" customHeight="1">
      <c r="A22" s="4">
        <v>21</v>
      </c>
      <c r="B22" s="4" t="s">
        <v>56</v>
      </c>
      <c r="C22" s="4" t="s">
        <v>297</v>
      </c>
      <c r="D22" s="4" t="s">
        <v>86</v>
      </c>
      <c r="E22" s="4">
        <v>51</v>
      </c>
      <c r="F22" s="4" t="s">
        <v>38</v>
      </c>
    </row>
    <row r="23" spans="1:6" ht="15.75" customHeight="1">
      <c r="A23" s="4">
        <v>22</v>
      </c>
      <c r="B23" s="4" t="s">
        <v>60</v>
      </c>
      <c r="C23" s="4" t="s">
        <v>297</v>
      </c>
      <c r="D23" s="4" t="s">
        <v>86</v>
      </c>
      <c r="E23" s="4">
        <v>51</v>
      </c>
      <c r="F23" s="4" t="s">
        <v>38</v>
      </c>
    </row>
    <row r="24" spans="1:6" ht="15.75" customHeight="1">
      <c r="A24" s="4">
        <v>23</v>
      </c>
      <c r="B24" s="4" t="s">
        <v>68</v>
      </c>
      <c r="C24" s="4" t="s">
        <v>297</v>
      </c>
      <c r="D24" s="4" t="s">
        <v>86</v>
      </c>
      <c r="E24" s="4">
        <v>51</v>
      </c>
      <c r="F24" s="4" t="s">
        <v>38</v>
      </c>
    </row>
    <row r="25" spans="1:6" ht="15.75" customHeight="1">
      <c r="A25" s="4">
        <v>24</v>
      </c>
      <c r="B25" s="4" t="s">
        <v>70</v>
      </c>
      <c r="C25" s="4" t="s">
        <v>297</v>
      </c>
      <c r="D25" s="4" t="s">
        <v>86</v>
      </c>
      <c r="E25" s="4">
        <v>51</v>
      </c>
      <c r="F25" s="4" t="s">
        <v>46</v>
      </c>
    </row>
    <row r="26" spans="1:6" ht="15.75" customHeight="1">
      <c r="A26" s="4">
        <v>25</v>
      </c>
      <c r="B26" s="4" t="s">
        <v>72</v>
      </c>
      <c r="C26" s="4" t="s">
        <v>297</v>
      </c>
      <c r="D26" s="4" t="s">
        <v>86</v>
      </c>
      <c r="E26" s="4">
        <v>51</v>
      </c>
      <c r="F26" s="4" t="s">
        <v>42</v>
      </c>
    </row>
    <row r="27" spans="1:6" ht="15.75" customHeight="1">
      <c r="A27" s="4">
        <v>26</v>
      </c>
      <c r="B27" s="4" t="s">
        <v>83</v>
      </c>
      <c r="C27" s="4" t="s">
        <v>297</v>
      </c>
      <c r="D27" s="4" t="s">
        <v>86</v>
      </c>
      <c r="E27" s="4">
        <v>51</v>
      </c>
      <c r="F27" s="4" t="s">
        <v>38</v>
      </c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Benchmarking Data</vt:lpstr>
      <vt:lpstr>Feature List</vt:lpstr>
      <vt:lpstr>Competitor List</vt:lpstr>
      <vt:lpstr>Data Dictionary</vt:lpstr>
      <vt:lpstr>Feature Scoring</vt:lpstr>
      <vt:lpstr>KPI Calculations</vt:lpstr>
      <vt:lpstr>Gap Analysis</vt:lpstr>
      <vt:lpstr>Competitor Comparison</vt:lpstr>
      <vt:lpstr>Feature Comparison Matrix</vt:lpstr>
      <vt:lpstr>Opportunity Prioritization</vt:lpstr>
      <vt:lpstr>Product Roadmap</vt:lpstr>
      <vt:lpstr>Dashboard</vt:lpstr>
      <vt:lpstr>Competitive_Positioning</vt:lpstr>
      <vt:lpstr>Opportunity Matrix</vt:lpstr>
      <vt:lpstr>Gap Priority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Asha</cp:lastModifiedBy>
  <dcterms:created xsi:type="dcterms:W3CDTF">2026-08-17T17:04:21Z</dcterms:created>
  <dcterms:modified xsi:type="dcterms:W3CDTF">2026-08-18T13:10:00Z</dcterms:modified>
</cp:coreProperties>
</file>